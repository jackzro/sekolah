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zro/Documents/sekolah/servercop/uploads/"/>
    </mc:Choice>
  </mc:AlternateContent>
  <xr:revisionPtr revIDLastSave="0" documentId="13_ncr:1_{8E166DEC-AF10-3546-8C9A-332206E6D38D}" xr6:coauthVersionLast="47" xr6:coauthVersionMax="47" xr10:uidLastSave="{00000000-0000-0000-0000-000000000000}"/>
  <bookViews>
    <workbookView xWindow="0" yWindow="500" windowWidth="28800" windowHeight="16280" tabRatio="759" activeTab="1" xr2:uid="{5E2DAEC2-BBD0-4BE8-9FE6-95F603B9C125}"/>
  </bookViews>
  <sheets>
    <sheet name="SD &amp; TK" sheetId="3" r:id="rId1"/>
    <sheet name="SMP &amp; SMA " sheetId="5" r:id="rId2"/>
    <sheet name="anak guru" sheetId="7" r:id="rId3"/>
    <sheet name="Sheet1" sheetId="8" r:id="rId4"/>
    <sheet name="Sheet2" sheetId="9" r:id="rId5"/>
  </sheets>
  <definedNames>
    <definedName name="_xlnm.Print_Area" localSheetId="2">'anak guru'!$B$2:$F$7</definedName>
    <definedName name="_xlnm.Print_Area" localSheetId="0">'SD &amp; TK'!$A$64:$E$79</definedName>
    <definedName name="_xlnm.Print_Area" localSheetId="1">'SMP &amp; SMA '!#REF!</definedName>
    <definedName name="_xlnm.Print_Titles" localSheetId="0">'SD &amp; TK'!$1:$1</definedName>
    <definedName name="_xlnm.Print_Titles" localSheetId="1">'SMP &amp; SMA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06" i="3" l="1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20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78" i="5"/>
  <c r="N77" i="5"/>
  <c r="N149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64" i="3"/>
  <c r="S80" i="3"/>
  <c r="S81" i="3"/>
  <c r="S82" i="3"/>
  <c r="S83" i="3"/>
  <c r="S84" i="3"/>
  <c r="I21" i="8" l="1"/>
  <c r="M95" i="5"/>
  <c r="M37" i="5"/>
  <c r="M85" i="3"/>
  <c r="G5" i="7" l="1"/>
  <c r="G6" i="7"/>
  <c r="G7" i="7"/>
  <c r="L118" i="3"/>
  <c r="M118" i="3" s="1"/>
  <c r="S154" i="3"/>
  <c r="S112" i="3"/>
  <c r="M214" i="3"/>
  <c r="N214" i="3" s="1"/>
  <c r="O214" i="3" s="1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86" i="3"/>
  <c r="N86" i="3" s="1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M97" i="5"/>
  <c r="N97" i="5" s="1"/>
  <c r="O97" i="5" s="1"/>
  <c r="M98" i="5"/>
  <c r="N98" i="5" s="1"/>
  <c r="O98" i="5" s="1"/>
  <c r="M99" i="5"/>
  <c r="N99" i="5" s="1"/>
  <c r="O99" i="5" s="1"/>
  <c r="M100" i="5"/>
  <c r="N100" i="5" s="1"/>
  <c r="O100" i="5" s="1"/>
  <c r="M101" i="5"/>
  <c r="N101" i="5" s="1"/>
  <c r="O101" i="5" s="1"/>
  <c r="M102" i="5"/>
  <c r="N102" i="5" s="1"/>
  <c r="O102" i="5" s="1"/>
  <c r="M103" i="5"/>
  <c r="N103" i="5" s="1"/>
  <c r="O103" i="5" s="1"/>
  <c r="M104" i="5"/>
  <c r="N104" i="5" s="1"/>
  <c r="O104" i="5" s="1"/>
  <c r="M105" i="5"/>
  <c r="N105" i="5" s="1"/>
  <c r="O105" i="5" s="1"/>
  <c r="M106" i="5"/>
  <c r="N106" i="5" s="1"/>
  <c r="O106" i="5" s="1"/>
  <c r="M107" i="5"/>
  <c r="N107" i="5" s="1"/>
  <c r="O107" i="5" s="1"/>
  <c r="M108" i="5"/>
  <c r="N108" i="5" s="1"/>
  <c r="O108" i="5" s="1"/>
  <c r="M109" i="5"/>
  <c r="N109" i="5" s="1"/>
  <c r="O109" i="5" s="1"/>
  <c r="M110" i="5"/>
  <c r="N110" i="5" s="1"/>
  <c r="O110" i="5" s="1"/>
  <c r="M111" i="5"/>
  <c r="N111" i="5" s="1"/>
  <c r="O111" i="5" s="1"/>
  <c r="M112" i="5"/>
  <c r="N112" i="5" s="1"/>
  <c r="O112" i="5" s="1"/>
  <c r="M113" i="5"/>
  <c r="N113" i="5" s="1"/>
  <c r="O113" i="5" s="1"/>
  <c r="M114" i="5"/>
  <c r="N114" i="5" s="1"/>
  <c r="O114" i="5" s="1"/>
  <c r="M115" i="5"/>
  <c r="N115" i="5" s="1"/>
  <c r="O115" i="5" s="1"/>
  <c r="M116" i="5"/>
  <c r="N116" i="5" s="1"/>
  <c r="O116" i="5" s="1"/>
  <c r="M117" i="5"/>
  <c r="N117" i="5" s="1"/>
  <c r="O117" i="5" s="1"/>
  <c r="M118" i="5"/>
  <c r="N118" i="5" s="1"/>
  <c r="O118" i="5" s="1"/>
  <c r="M119" i="5"/>
  <c r="N119" i="5" s="1"/>
  <c r="O119" i="5" s="1"/>
  <c r="M120" i="5"/>
  <c r="N120" i="5" s="1"/>
  <c r="O120" i="5" s="1"/>
  <c r="M121" i="5"/>
  <c r="N121" i="5" s="1"/>
  <c r="O121" i="5" s="1"/>
  <c r="M122" i="5"/>
  <c r="N122" i="5" s="1"/>
  <c r="O122" i="5" s="1"/>
  <c r="M123" i="5"/>
  <c r="N123" i="5" s="1"/>
  <c r="O123" i="5" s="1"/>
  <c r="M96" i="5"/>
  <c r="N96" i="5" s="1"/>
  <c r="O96" i="5" s="1"/>
  <c r="M39" i="5"/>
  <c r="N39" i="5" s="1"/>
  <c r="O39" i="5" s="1"/>
  <c r="M40" i="5"/>
  <c r="N40" i="5" s="1"/>
  <c r="O40" i="5" s="1"/>
  <c r="M41" i="5"/>
  <c r="N41" i="5" s="1"/>
  <c r="O41" i="5" s="1"/>
  <c r="M42" i="5"/>
  <c r="N42" i="5" s="1"/>
  <c r="O42" i="5" s="1"/>
  <c r="M43" i="5"/>
  <c r="N43" i="5" s="1"/>
  <c r="O43" i="5" s="1"/>
  <c r="M44" i="5"/>
  <c r="N44" i="5" s="1"/>
  <c r="O44" i="5" s="1"/>
  <c r="M45" i="5"/>
  <c r="N45" i="5" s="1"/>
  <c r="O45" i="5" s="1"/>
  <c r="M46" i="5"/>
  <c r="N46" i="5" s="1"/>
  <c r="O46" i="5" s="1"/>
  <c r="M47" i="5"/>
  <c r="N47" i="5" s="1"/>
  <c r="O47" i="5" s="1"/>
  <c r="M48" i="5"/>
  <c r="N48" i="5" s="1"/>
  <c r="O48" i="5" s="1"/>
  <c r="M49" i="5"/>
  <c r="N49" i="5" s="1"/>
  <c r="O49" i="5" s="1"/>
  <c r="M50" i="5"/>
  <c r="N50" i="5" s="1"/>
  <c r="O50" i="5" s="1"/>
  <c r="M51" i="5"/>
  <c r="N51" i="5" s="1"/>
  <c r="O51" i="5" s="1"/>
  <c r="M52" i="5"/>
  <c r="N52" i="5" s="1"/>
  <c r="O52" i="5" s="1"/>
  <c r="M38" i="5"/>
  <c r="N38" i="5" s="1"/>
  <c r="O38" i="5" s="1"/>
  <c r="C21" i="8"/>
  <c r="F21" i="8"/>
  <c r="U38" i="5"/>
  <c r="V38" i="5"/>
  <c r="U39" i="5"/>
  <c r="V39" i="5"/>
  <c r="U40" i="5"/>
  <c r="V40" i="5"/>
  <c r="U41" i="5"/>
  <c r="V41" i="5"/>
  <c r="U42" i="5"/>
  <c r="V42" i="5"/>
  <c r="U43" i="5"/>
  <c r="V43" i="5"/>
  <c r="U44" i="5"/>
  <c r="V44" i="5"/>
  <c r="U45" i="5"/>
  <c r="V45" i="5"/>
  <c r="U46" i="5"/>
  <c r="V46" i="5"/>
  <c r="U47" i="5"/>
  <c r="V47" i="5"/>
  <c r="U48" i="5"/>
  <c r="V48" i="5"/>
  <c r="U49" i="5"/>
  <c r="V49" i="5"/>
  <c r="U50" i="5"/>
  <c r="V50" i="5"/>
  <c r="U51" i="5"/>
  <c r="V51" i="5"/>
  <c r="U52" i="5"/>
  <c r="V52" i="5"/>
  <c r="U96" i="5"/>
  <c r="V96" i="5"/>
  <c r="U97" i="5"/>
  <c r="V97" i="5"/>
  <c r="U98" i="5"/>
  <c r="V98" i="5"/>
  <c r="U99" i="5"/>
  <c r="V99" i="5"/>
  <c r="U100" i="5"/>
  <c r="V100" i="5"/>
  <c r="U101" i="5"/>
  <c r="V101" i="5"/>
  <c r="U102" i="5"/>
  <c r="V102" i="5"/>
  <c r="U103" i="5"/>
  <c r="V103" i="5"/>
  <c r="U104" i="5"/>
  <c r="V104" i="5"/>
  <c r="U105" i="5"/>
  <c r="V105" i="5"/>
  <c r="U106" i="5"/>
  <c r="V106" i="5"/>
  <c r="U107" i="5"/>
  <c r="V107" i="5"/>
  <c r="U108" i="5"/>
  <c r="V108" i="5"/>
  <c r="U109" i="5"/>
  <c r="V109" i="5"/>
  <c r="U110" i="5"/>
  <c r="V110" i="5"/>
  <c r="U111" i="5"/>
  <c r="V111" i="5"/>
  <c r="U112" i="5"/>
  <c r="V112" i="5"/>
  <c r="U113" i="5"/>
  <c r="V113" i="5"/>
  <c r="U114" i="5"/>
  <c r="V114" i="5"/>
  <c r="U115" i="5"/>
  <c r="V115" i="5"/>
  <c r="U116" i="5"/>
  <c r="V116" i="5"/>
  <c r="U117" i="5"/>
  <c r="V117" i="5"/>
  <c r="U118" i="5"/>
  <c r="V118" i="5"/>
  <c r="U119" i="5"/>
  <c r="V119" i="5"/>
  <c r="U120" i="5"/>
  <c r="V120" i="5"/>
  <c r="U121" i="5"/>
  <c r="V121" i="5"/>
  <c r="U122" i="5"/>
  <c r="V122" i="5"/>
  <c r="U123" i="5"/>
  <c r="V123" i="5"/>
  <c r="U124" i="5"/>
  <c r="V124" i="5"/>
  <c r="S2" i="3"/>
  <c r="V2" i="3"/>
  <c r="W2" i="3"/>
  <c r="S7" i="3"/>
  <c r="V7" i="3"/>
  <c r="W7" i="3"/>
  <c r="S8" i="3"/>
  <c r="V8" i="3"/>
  <c r="W8" i="3"/>
  <c r="S9" i="3"/>
  <c r="V9" i="3"/>
  <c r="W9" i="3"/>
  <c r="S10" i="3"/>
  <c r="V10" i="3"/>
  <c r="W10" i="3"/>
  <c r="S11" i="3"/>
  <c r="V11" i="3"/>
  <c r="W11" i="3"/>
  <c r="S12" i="3"/>
  <c r="V12" i="3"/>
  <c r="W12" i="3"/>
  <c r="S13" i="3"/>
  <c r="V13" i="3"/>
  <c r="W13" i="3"/>
  <c r="S14" i="3"/>
  <c r="V14" i="3"/>
  <c r="W14" i="3"/>
  <c r="S15" i="3"/>
  <c r="V15" i="3"/>
  <c r="W15" i="3"/>
  <c r="S16" i="3"/>
  <c r="V16" i="3"/>
  <c r="W16" i="3"/>
  <c r="S17" i="3"/>
  <c r="V17" i="3"/>
  <c r="W17" i="3"/>
  <c r="V18" i="3"/>
  <c r="W18" i="3"/>
  <c r="S20" i="3"/>
  <c r="V20" i="3"/>
  <c r="W20" i="3"/>
  <c r="S21" i="3"/>
  <c r="V21" i="3"/>
  <c r="W21" i="3"/>
  <c r="S22" i="3"/>
  <c r="V22" i="3"/>
  <c r="W22" i="3"/>
  <c r="S23" i="3"/>
  <c r="V23" i="3"/>
  <c r="W23" i="3"/>
  <c r="V24" i="3"/>
  <c r="W24" i="3"/>
  <c r="V25" i="3"/>
  <c r="W25" i="3"/>
  <c r="S26" i="3"/>
  <c r="V26" i="3"/>
  <c r="W26" i="3"/>
  <c r="S27" i="3"/>
  <c r="V27" i="3"/>
  <c r="W27" i="3"/>
  <c r="S28" i="3"/>
  <c r="V28" i="3"/>
  <c r="W28" i="3"/>
  <c r="S29" i="3"/>
  <c r="V29" i="3"/>
  <c r="W29" i="3"/>
  <c r="S30" i="3"/>
  <c r="V30" i="3"/>
  <c r="W30" i="3"/>
  <c r="S31" i="3"/>
  <c r="V31" i="3"/>
  <c r="W31" i="3"/>
  <c r="S32" i="3"/>
  <c r="V32" i="3"/>
  <c r="W32" i="3"/>
  <c r="V86" i="3"/>
  <c r="W86" i="3"/>
  <c r="V87" i="3"/>
  <c r="W87" i="3"/>
  <c r="V88" i="3"/>
  <c r="W88" i="3"/>
  <c r="V89" i="3"/>
  <c r="W89" i="3"/>
  <c r="V90" i="3"/>
  <c r="W90" i="3"/>
  <c r="V91" i="3"/>
  <c r="W91" i="3"/>
  <c r="V92" i="3"/>
  <c r="W92" i="3"/>
  <c r="V93" i="3"/>
  <c r="W93" i="3"/>
  <c r="V94" i="3"/>
  <c r="W94" i="3"/>
  <c r="V95" i="3"/>
  <c r="W95" i="3"/>
  <c r="V96" i="3"/>
  <c r="W96" i="3"/>
  <c r="V97" i="3"/>
  <c r="W97" i="3"/>
  <c r="V98" i="3"/>
  <c r="W98" i="3"/>
  <c r="V99" i="3"/>
  <c r="W99" i="3"/>
  <c r="V100" i="3"/>
  <c r="W100" i="3"/>
  <c r="V101" i="3"/>
  <c r="W101" i="3"/>
  <c r="V102" i="3"/>
  <c r="W102" i="3"/>
  <c r="V103" i="3"/>
  <c r="W103" i="3"/>
  <c r="V104" i="3"/>
  <c r="W104" i="3"/>
  <c r="V105" i="3"/>
  <c r="W105" i="3"/>
  <c r="V106" i="3"/>
  <c r="W106" i="3"/>
  <c r="V107" i="3"/>
  <c r="W107" i="3"/>
  <c r="V108" i="3"/>
  <c r="W108" i="3"/>
  <c r="V109" i="3"/>
  <c r="W109" i="3"/>
  <c r="V110" i="3"/>
  <c r="W110" i="3"/>
  <c r="V111" i="3"/>
  <c r="W111" i="3"/>
  <c r="V112" i="3"/>
  <c r="W112" i="3"/>
  <c r="V116" i="3"/>
  <c r="W116" i="3"/>
  <c r="L117" i="3"/>
  <c r="M117" i="3" s="1"/>
  <c r="N117" i="3" s="1"/>
  <c r="V117" i="3"/>
  <c r="W117" i="3"/>
  <c r="V118" i="3"/>
  <c r="W118" i="3"/>
  <c r="L119" i="3"/>
  <c r="M119" i="3" s="1"/>
  <c r="V119" i="3"/>
  <c r="W119" i="3"/>
  <c r="L120" i="3"/>
  <c r="M120" i="3" s="1"/>
  <c r="V120" i="3"/>
  <c r="W120" i="3"/>
  <c r="L121" i="3"/>
  <c r="M121" i="3" s="1"/>
  <c r="V121" i="3"/>
  <c r="W121" i="3"/>
  <c r="L122" i="3"/>
  <c r="M122" i="3" s="1"/>
  <c r="V122" i="3"/>
  <c r="W122" i="3"/>
  <c r="L123" i="3"/>
  <c r="M123" i="3" s="1"/>
  <c r="V123" i="3"/>
  <c r="W123" i="3"/>
  <c r="L124" i="3"/>
  <c r="M124" i="3" s="1"/>
  <c r="V124" i="3"/>
  <c r="W124" i="3"/>
  <c r="L125" i="3"/>
  <c r="M125" i="3" s="1"/>
  <c r="V125" i="3"/>
  <c r="W125" i="3"/>
  <c r="L126" i="3"/>
  <c r="M126" i="3" s="1"/>
  <c r="V126" i="3"/>
  <c r="W126" i="3"/>
  <c r="L127" i="3"/>
  <c r="M127" i="3" s="1"/>
  <c r="V127" i="3"/>
  <c r="W127" i="3"/>
  <c r="L128" i="3"/>
  <c r="M128" i="3" s="1"/>
  <c r="V128" i="3"/>
  <c r="W128" i="3"/>
  <c r="L129" i="3"/>
  <c r="M129" i="3" s="1"/>
  <c r="V129" i="3"/>
  <c r="W129" i="3"/>
  <c r="L130" i="3"/>
  <c r="M130" i="3" s="1"/>
  <c r="V130" i="3"/>
  <c r="W130" i="3"/>
  <c r="L131" i="3"/>
  <c r="M131" i="3" s="1"/>
  <c r="V131" i="3"/>
  <c r="W131" i="3"/>
  <c r="L132" i="3"/>
  <c r="M132" i="3" s="1"/>
  <c r="V132" i="3"/>
  <c r="W132" i="3"/>
  <c r="L133" i="3"/>
  <c r="M133" i="3" s="1"/>
  <c r="V133" i="3"/>
  <c r="W133" i="3"/>
  <c r="L134" i="3"/>
  <c r="M134" i="3" s="1"/>
  <c r="V134" i="3"/>
  <c r="W134" i="3"/>
  <c r="L135" i="3"/>
  <c r="M135" i="3" s="1"/>
  <c r="V135" i="3"/>
  <c r="W135" i="3"/>
  <c r="L136" i="3"/>
  <c r="M136" i="3" s="1"/>
  <c r="V136" i="3"/>
  <c r="W136" i="3"/>
  <c r="L137" i="3"/>
  <c r="M137" i="3" s="1"/>
  <c r="V137" i="3"/>
  <c r="W137" i="3"/>
  <c r="L138" i="3"/>
  <c r="M138" i="3" s="1"/>
  <c r="V138" i="3"/>
  <c r="W138" i="3"/>
  <c r="L139" i="3"/>
  <c r="M139" i="3" s="1"/>
  <c r="V139" i="3"/>
  <c r="W139" i="3"/>
  <c r="L140" i="3"/>
  <c r="M140" i="3" s="1"/>
  <c r="V140" i="3"/>
  <c r="W140" i="3"/>
  <c r="L141" i="3"/>
  <c r="M141" i="3" s="1"/>
  <c r="V141" i="3"/>
  <c r="W141" i="3"/>
  <c r="L142" i="3"/>
  <c r="M142" i="3" s="1"/>
  <c r="V142" i="3"/>
  <c r="W142" i="3"/>
  <c r="L143" i="3"/>
  <c r="M143" i="3" s="1"/>
  <c r="V143" i="3"/>
  <c r="W143" i="3"/>
  <c r="L144" i="3"/>
  <c r="M144" i="3" s="1"/>
  <c r="N144" i="3" s="1"/>
  <c r="V144" i="3"/>
  <c r="W144" i="3"/>
  <c r="L145" i="3"/>
  <c r="M145" i="3" s="1"/>
  <c r="V145" i="3"/>
  <c r="W145" i="3"/>
  <c r="L146" i="3"/>
  <c r="M146" i="3" s="1"/>
  <c r="V146" i="3"/>
  <c r="W146" i="3"/>
  <c r="L147" i="3"/>
  <c r="M147" i="3" s="1"/>
  <c r="V147" i="3"/>
  <c r="W147" i="3"/>
  <c r="L148" i="3"/>
  <c r="M148" i="3" s="1"/>
  <c r="V148" i="3"/>
  <c r="W148" i="3"/>
  <c r="L149" i="3"/>
  <c r="S149" i="3" s="1"/>
  <c r="V149" i="3"/>
  <c r="W149" i="3"/>
  <c r="L150" i="3"/>
  <c r="M150" i="3" s="1"/>
  <c r="V150" i="3"/>
  <c r="W150" i="3"/>
  <c r="L151" i="3"/>
  <c r="M151" i="3" s="1"/>
  <c r="V151" i="3"/>
  <c r="W151" i="3"/>
  <c r="L152" i="3"/>
  <c r="M152" i="3" s="1"/>
  <c r="V152" i="3"/>
  <c r="W152" i="3"/>
  <c r="K155" i="3"/>
  <c r="K156" i="3"/>
  <c r="L156" i="3" s="1"/>
  <c r="M156" i="3" s="1"/>
  <c r="N156" i="3" s="1"/>
  <c r="V156" i="3"/>
  <c r="W156" i="3"/>
  <c r="K157" i="3"/>
  <c r="L157" i="3" s="1"/>
  <c r="M157" i="3" s="1"/>
  <c r="V157" i="3"/>
  <c r="W157" i="3"/>
  <c r="K158" i="3"/>
  <c r="L158" i="3" s="1"/>
  <c r="M158" i="3" s="1"/>
  <c r="V158" i="3"/>
  <c r="W158" i="3"/>
  <c r="K159" i="3"/>
  <c r="L159" i="3" s="1"/>
  <c r="M159" i="3" s="1"/>
  <c r="V159" i="3"/>
  <c r="W159" i="3"/>
  <c r="K160" i="3"/>
  <c r="L160" i="3" s="1"/>
  <c r="M160" i="3" s="1"/>
  <c r="V160" i="3"/>
  <c r="W160" i="3"/>
  <c r="K161" i="3"/>
  <c r="L161" i="3" s="1"/>
  <c r="M161" i="3" s="1"/>
  <c r="V161" i="3"/>
  <c r="W161" i="3"/>
  <c r="K162" i="3"/>
  <c r="L162" i="3" s="1"/>
  <c r="M162" i="3" s="1"/>
  <c r="V162" i="3"/>
  <c r="W162" i="3"/>
  <c r="K163" i="3"/>
  <c r="L163" i="3" s="1"/>
  <c r="M163" i="3" s="1"/>
  <c r="V163" i="3"/>
  <c r="W163" i="3"/>
  <c r="K164" i="3"/>
  <c r="L164" i="3" s="1"/>
  <c r="M164" i="3" s="1"/>
  <c r="V164" i="3"/>
  <c r="W164" i="3"/>
  <c r="K165" i="3"/>
  <c r="L165" i="3" s="1"/>
  <c r="M165" i="3" s="1"/>
  <c r="V165" i="3"/>
  <c r="W165" i="3"/>
  <c r="K166" i="3"/>
  <c r="L166" i="3" s="1"/>
  <c r="M166" i="3" s="1"/>
  <c r="V166" i="3"/>
  <c r="W166" i="3"/>
  <c r="K167" i="3"/>
  <c r="L167" i="3" s="1"/>
  <c r="M167" i="3" s="1"/>
  <c r="V167" i="3"/>
  <c r="W167" i="3"/>
  <c r="K168" i="3"/>
  <c r="L168" i="3" s="1"/>
  <c r="M168" i="3" s="1"/>
  <c r="V168" i="3"/>
  <c r="W168" i="3"/>
  <c r="K169" i="3"/>
  <c r="L169" i="3" s="1"/>
  <c r="M169" i="3" s="1"/>
  <c r="V169" i="3"/>
  <c r="W169" i="3"/>
  <c r="K170" i="3"/>
  <c r="L170" i="3" s="1"/>
  <c r="M170" i="3" s="1"/>
  <c r="V170" i="3"/>
  <c r="W170" i="3"/>
  <c r="K171" i="3"/>
  <c r="L171" i="3" s="1"/>
  <c r="M171" i="3" s="1"/>
  <c r="V171" i="3"/>
  <c r="W171" i="3"/>
  <c r="K172" i="3"/>
  <c r="L172" i="3" s="1"/>
  <c r="M172" i="3" s="1"/>
  <c r="V172" i="3"/>
  <c r="W172" i="3"/>
  <c r="K173" i="3"/>
  <c r="L173" i="3" s="1"/>
  <c r="M173" i="3" s="1"/>
  <c r="V173" i="3"/>
  <c r="W173" i="3"/>
  <c r="K174" i="3"/>
  <c r="L174" i="3" s="1"/>
  <c r="M174" i="3" s="1"/>
  <c r="V174" i="3"/>
  <c r="W174" i="3"/>
  <c r="K175" i="3"/>
  <c r="L175" i="3" s="1"/>
  <c r="M175" i="3" s="1"/>
  <c r="V175" i="3"/>
  <c r="W175" i="3"/>
  <c r="K176" i="3"/>
  <c r="L176" i="3" s="1"/>
  <c r="M176" i="3" s="1"/>
  <c r="V176" i="3"/>
  <c r="W176" i="3"/>
  <c r="K177" i="3"/>
  <c r="L177" i="3" s="1"/>
  <c r="M177" i="3" s="1"/>
  <c r="V177" i="3"/>
  <c r="W177" i="3"/>
  <c r="K178" i="3"/>
  <c r="L178" i="3" s="1"/>
  <c r="M178" i="3" s="1"/>
  <c r="V178" i="3"/>
  <c r="W178" i="3"/>
  <c r="K179" i="3"/>
  <c r="L179" i="3" s="1"/>
  <c r="M179" i="3" s="1"/>
  <c r="V179" i="3"/>
  <c r="W179" i="3"/>
  <c r="K180" i="3"/>
  <c r="L180" i="3" s="1"/>
  <c r="M180" i="3" s="1"/>
  <c r="V180" i="3"/>
  <c r="W180" i="3"/>
  <c r="K181" i="3"/>
  <c r="L181" i="3" s="1"/>
  <c r="M181" i="3" s="1"/>
  <c r="V181" i="3"/>
  <c r="W181" i="3"/>
  <c r="K182" i="3"/>
  <c r="L182" i="3" s="1"/>
  <c r="M182" i="3" s="1"/>
  <c r="V182" i="3"/>
  <c r="W182" i="3"/>
  <c r="J184" i="3"/>
  <c r="J185" i="3"/>
  <c r="K185" i="3" s="1"/>
  <c r="V185" i="3"/>
  <c r="W185" i="3"/>
  <c r="J186" i="3"/>
  <c r="K186" i="3" s="1"/>
  <c r="L186" i="3" s="1"/>
  <c r="S186" i="3" s="1"/>
  <c r="V186" i="3"/>
  <c r="W186" i="3"/>
  <c r="J187" i="3"/>
  <c r="K187" i="3" s="1"/>
  <c r="L187" i="3" s="1"/>
  <c r="S187" i="3" s="1"/>
  <c r="V187" i="3"/>
  <c r="W187" i="3"/>
  <c r="J188" i="3"/>
  <c r="K188" i="3" s="1"/>
  <c r="L188" i="3" s="1"/>
  <c r="S188" i="3" s="1"/>
  <c r="V188" i="3"/>
  <c r="W188" i="3"/>
  <c r="J189" i="3"/>
  <c r="K189" i="3" s="1"/>
  <c r="L189" i="3" s="1"/>
  <c r="S189" i="3" s="1"/>
  <c r="V189" i="3"/>
  <c r="W189" i="3"/>
  <c r="J190" i="3"/>
  <c r="K190" i="3" s="1"/>
  <c r="L190" i="3" s="1"/>
  <c r="S190" i="3" s="1"/>
  <c r="V190" i="3"/>
  <c r="W190" i="3"/>
  <c r="J191" i="3"/>
  <c r="K191" i="3" s="1"/>
  <c r="L191" i="3" s="1"/>
  <c r="S191" i="3" s="1"/>
  <c r="V191" i="3"/>
  <c r="W191" i="3"/>
  <c r="J192" i="3"/>
  <c r="K192" i="3" s="1"/>
  <c r="L192" i="3" s="1"/>
  <c r="S192" i="3" s="1"/>
  <c r="V192" i="3"/>
  <c r="W192" i="3"/>
  <c r="J193" i="3"/>
  <c r="K193" i="3" s="1"/>
  <c r="L193" i="3" s="1"/>
  <c r="S193" i="3" s="1"/>
  <c r="V193" i="3"/>
  <c r="W193" i="3"/>
  <c r="J194" i="3"/>
  <c r="K194" i="3" s="1"/>
  <c r="L194" i="3" s="1"/>
  <c r="S194" i="3" s="1"/>
  <c r="V194" i="3"/>
  <c r="W194" i="3"/>
  <c r="J195" i="3"/>
  <c r="K195" i="3" s="1"/>
  <c r="L195" i="3" s="1"/>
  <c r="S195" i="3" s="1"/>
  <c r="V195" i="3"/>
  <c r="W195" i="3"/>
  <c r="J196" i="3"/>
  <c r="K196" i="3" s="1"/>
  <c r="L196" i="3" s="1"/>
  <c r="S196" i="3" s="1"/>
  <c r="V196" i="3"/>
  <c r="W196" i="3"/>
  <c r="J197" i="3"/>
  <c r="K197" i="3" s="1"/>
  <c r="L197" i="3" s="1"/>
  <c r="S197" i="3" s="1"/>
  <c r="V197" i="3"/>
  <c r="W197" i="3"/>
  <c r="J198" i="3"/>
  <c r="K198" i="3" s="1"/>
  <c r="L198" i="3" s="1"/>
  <c r="V198" i="3"/>
  <c r="W198" i="3"/>
  <c r="J199" i="3"/>
  <c r="K199" i="3" s="1"/>
  <c r="L199" i="3" s="1"/>
  <c r="S199" i="3" s="1"/>
  <c r="V199" i="3"/>
  <c r="W199" i="3"/>
  <c r="J200" i="3"/>
  <c r="K200" i="3" s="1"/>
  <c r="L200" i="3" s="1"/>
  <c r="S200" i="3" s="1"/>
  <c r="V200" i="3"/>
  <c r="W200" i="3"/>
  <c r="J201" i="3"/>
  <c r="K201" i="3" s="1"/>
  <c r="L201" i="3" s="1"/>
  <c r="S201" i="3" s="1"/>
  <c r="V201" i="3"/>
  <c r="W201" i="3"/>
  <c r="J202" i="3"/>
  <c r="K202" i="3" s="1"/>
  <c r="L202" i="3" s="1"/>
  <c r="S202" i="3" s="1"/>
  <c r="V202" i="3"/>
  <c r="W202" i="3"/>
  <c r="J203" i="3"/>
  <c r="K203" i="3" s="1"/>
  <c r="L203" i="3" s="1"/>
  <c r="S203" i="3" s="1"/>
  <c r="V203" i="3"/>
  <c r="W203" i="3"/>
  <c r="J204" i="3"/>
  <c r="K204" i="3" s="1"/>
  <c r="L204" i="3" s="1"/>
  <c r="S204" i="3" s="1"/>
  <c r="V204" i="3"/>
  <c r="W204" i="3"/>
  <c r="J205" i="3"/>
  <c r="K205" i="3" s="1"/>
  <c r="L205" i="3" s="1"/>
  <c r="S205" i="3" s="1"/>
  <c r="V205" i="3"/>
  <c r="W205" i="3"/>
  <c r="K206" i="3"/>
  <c r="L206" i="3" s="1"/>
  <c r="S206" i="3" s="1"/>
  <c r="V206" i="3"/>
  <c r="W206" i="3"/>
  <c r="K207" i="3"/>
  <c r="L207" i="3" s="1"/>
  <c r="S207" i="3" s="1"/>
  <c r="V207" i="3"/>
  <c r="W207" i="3"/>
  <c r="K208" i="3"/>
  <c r="L208" i="3" s="1"/>
  <c r="S208" i="3" s="1"/>
  <c r="V208" i="3"/>
  <c r="W208" i="3"/>
  <c r="J209" i="3"/>
  <c r="K209" i="3" s="1"/>
  <c r="L209" i="3" s="1"/>
  <c r="S209" i="3" s="1"/>
  <c r="V209" i="3"/>
  <c r="W209" i="3"/>
  <c r="J210" i="3"/>
  <c r="K210" i="3" s="1"/>
  <c r="L210" i="3" s="1"/>
  <c r="S210" i="3" s="1"/>
  <c r="V210" i="3"/>
  <c r="W210" i="3"/>
  <c r="J211" i="3"/>
  <c r="K211" i="3" s="1"/>
  <c r="L211" i="3" s="1"/>
  <c r="S211" i="3" s="1"/>
  <c r="V211" i="3"/>
  <c r="W211" i="3"/>
  <c r="K212" i="3"/>
  <c r="L212" i="3" s="1"/>
  <c r="S212" i="3" s="1"/>
  <c r="V212" i="3"/>
  <c r="W212" i="3"/>
  <c r="L213" i="3"/>
  <c r="S213" i="3" s="1"/>
  <c r="V213" i="3"/>
  <c r="W213" i="3"/>
  <c r="S214" i="3"/>
  <c r="V214" i="3"/>
  <c r="W214" i="3"/>
  <c r="I216" i="3"/>
  <c r="S173" i="3" l="1"/>
  <c r="N173" i="3"/>
  <c r="S142" i="3"/>
  <c r="N142" i="3"/>
  <c r="S122" i="3"/>
  <c r="N122" i="3"/>
  <c r="S108" i="3"/>
  <c r="N108" i="3"/>
  <c r="S96" i="3"/>
  <c r="N96" i="3"/>
  <c r="S161" i="3"/>
  <c r="N161" i="3"/>
  <c r="S126" i="3"/>
  <c r="N126" i="3"/>
  <c r="S180" i="3"/>
  <c r="N180" i="3"/>
  <c r="S176" i="3"/>
  <c r="N176" i="3"/>
  <c r="S172" i="3"/>
  <c r="N172" i="3"/>
  <c r="S168" i="3"/>
  <c r="N168" i="3"/>
  <c r="S164" i="3"/>
  <c r="N164" i="3"/>
  <c r="S160" i="3"/>
  <c r="N160" i="3"/>
  <c r="S106" i="3"/>
  <c r="N106" i="3"/>
  <c r="S94" i="3"/>
  <c r="N94" i="3"/>
  <c r="S169" i="3"/>
  <c r="N169" i="3"/>
  <c r="S146" i="3"/>
  <c r="N146" i="3"/>
  <c r="S145" i="3"/>
  <c r="N145" i="3"/>
  <c r="S141" i="3"/>
  <c r="N141" i="3"/>
  <c r="S137" i="3"/>
  <c r="N137" i="3"/>
  <c r="S133" i="3"/>
  <c r="N133" i="3"/>
  <c r="S129" i="3"/>
  <c r="N129" i="3"/>
  <c r="S125" i="3"/>
  <c r="N125" i="3"/>
  <c r="S121" i="3"/>
  <c r="N121" i="3"/>
  <c r="S105" i="3"/>
  <c r="N105" i="3"/>
  <c r="S93" i="3"/>
  <c r="N93" i="3"/>
  <c r="S157" i="3"/>
  <c r="N157" i="3"/>
  <c r="S138" i="3"/>
  <c r="N138" i="3"/>
  <c r="S95" i="3"/>
  <c r="N95" i="3"/>
  <c r="S104" i="3"/>
  <c r="N104" i="3"/>
  <c r="S92" i="3"/>
  <c r="N92" i="3"/>
  <c r="S98" i="3"/>
  <c r="N98" i="3"/>
  <c r="S181" i="3"/>
  <c r="N181" i="3"/>
  <c r="S130" i="3"/>
  <c r="N130" i="3"/>
  <c r="S118" i="3"/>
  <c r="N118" i="3"/>
  <c r="S179" i="3"/>
  <c r="N179" i="3"/>
  <c r="S175" i="3"/>
  <c r="N175" i="3"/>
  <c r="S171" i="3"/>
  <c r="N171" i="3"/>
  <c r="S167" i="3"/>
  <c r="N167" i="3"/>
  <c r="S163" i="3"/>
  <c r="N163" i="3"/>
  <c r="S159" i="3"/>
  <c r="N159" i="3"/>
  <c r="S103" i="3"/>
  <c r="N103" i="3"/>
  <c r="S91" i="3"/>
  <c r="N91" i="3"/>
  <c r="S152" i="3"/>
  <c r="N152" i="3"/>
  <c r="S148" i="3"/>
  <c r="N148" i="3"/>
  <c r="S140" i="3"/>
  <c r="N140" i="3"/>
  <c r="S136" i="3"/>
  <c r="N136" i="3"/>
  <c r="S132" i="3"/>
  <c r="N132" i="3"/>
  <c r="S128" i="3"/>
  <c r="N128" i="3"/>
  <c r="S124" i="3"/>
  <c r="N124" i="3"/>
  <c r="S120" i="3"/>
  <c r="N120" i="3"/>
  <c r="S102" i="3"/>
  <c r="N102" i="3"/>
  <c r="S90" i="3"/>
  <c r="N90" i="3"/>
  <c r="S110" i="3"/>
  <c r="N110" i="3"/>
  <c r="S177" i="3"/>
  <c r="N177" i="3"/>
  <c r="S134" i="3"/>
  <c r="N134" i="3"/>
  <c r="S107" i="3"/>
  <c r="N107" i="3"/>
  <c r="S101" i="3"/>
  <c r="N101" i="3"/>
  <c r="S89" i="3"/>
  <c r="N89" i="3"/>
  <c r="S165" i="3"/>
  <c r="N165" i="3"/>
  <c r="S109" i="3"/>
  <c r="N109" i="3"/>
  <c r="S182" i="3"/>
  <c r="N182" i="3"/>
  <c r="S178" i="3"/>
  <c r="N178" i="3"/>
  <c r="S174" i="3"/>
  <c r="N174" i="3"/>
  <c r="S170" i="3"/>
  <c r="N170" i="3"/>
  <c r="S166" i="3"/>
  <c r="N166" i="3"/>
  <c r="S162" i="3"/>
  <c r="N162" i="3"/>
  <c r="S158" i="3"/>
  <c r="N158" i="3"/>
  <c r="S100" i="3"/>
  <c r="N100" i="3"/>
  <c r="S88" i="3"/>
  <c r="N88" i="3"/>
  <c r="S97" i="3"/>
  <c r="N97" i="3"/>
  <c r="S150" i="3"/>
  <c r="N150" i="3"/>
  <c r="S151" i="3"/>
  <c r="N151" i="3"/>
  <c r="S147" i="3"/>
  <c r="N147" i="3"/>
  <c r="S143" i="3"/>
  <c r="N143" i="3"/>
  <c r="S139" i="3"/>
  <c r="N139" i="3"/>
  <c r="S135" i="3"/>
  <c r="N135" i="3"/>
  <c r="S131" i="3"/>
  <c r="N131" i="3"/>
  <c r="S127" i="3"/>
  <c r="N127" i="3"/>
  <c r="S123" i="3"/>
  <c r="N123" i="3"/>
  <c r="S119" i="3"/>
  <c r="N119" i="3"/>
  <c r="S111" i="3"/>
  <c r="N111" i="3"/>
  <c r="S99" i="3"/>
  <c r="N99" i="3"/>
  <c r="S87" i="3"/>
  <c r="N87" i="3"/>
  <c r="M54" i="5"/>
  <c r="M125" i="5"/>
  <c r="S156" i="3"/>
  <c r="M184" i="3"/>
  <c r="S117" i="3"/>
  <c r="M155" i="3"/>
  <c r="S86" i="3"/>
  <c r="M116" i="3"/>
  <c r="S144" i="3"/>
  <c r="M191" i="3"/>
  <c r="N191" i="3" s="1"/>
  <c r="O191" i="3" s="1"/>
  <c r="M187" i="3"/>
  <c r="N187" i="3" s="1"/>
  <c r="O187" i="3" s="1"/>
  <c r="S198" i="3"/>
  <c r="M198" i="3"/>
  <c r="N198" i="3" s="1"/>
  <c r="O198" i="3" s="1"/>
  <c r="M211" i="3"/>
  <c r="N211" i="3" s="1"/>
  <c r="O211" i="3" s="1"/>
  <c r="M210" i="3"/>
  <c r="N210" i="3" s="1"/>
  <c r="O210" i="3" s="1"/>
  <c r="M186" i="3"/>
  <c r="N186" i="3" s="1"/>
  <c r="O186" i="3" s="1"/>
  <c r="M209" i="3"/>
  <c r="N209" i="3" s="1"/>
  <c r="O209" i="3" s="1"/>
  <c r="M197" i="3"/>
  <c r="N197" i="3" s="1"/>
  <c r="O197" i="3" s="1"/>
  <c r="M199" i="3"/>
  <c r="N199" i="3" s="1"/>
  <c r="O199" i="3" s="1"/>
  <c r="M196" i="3"/>
  <c r="N196" i="3" s="1"/>
  <c r="O196" i="3" s="1"/>
  <c r="M195" i="3"/>
  <c r="N195" i="3" s="1"/>
  <c r="O195" i="3" s="1"/>
  <c r="M194" i="3"/>
  <c r="N194" i="3" s="1"/>
  <c r="O194" i="3" s="1"/>
  <c r="M205" i="3"/>
  <c r="N205" i="3" s="1"/>
  <c r="O205" i="3" s="1"/>
  <c r="M193" i="3"/>
  <c r="N193" i="3" s="1"/>
  <c r="O193" i="3" s="1"/>
  <c r="M204" i="3"/>
  <c r="N204" i="3" s="1"/>
  <c r="O204" i="3" s="1"/>
  <c r="M192" i="3"/>
  <c r="N192" i="3" s="1"/>
  <c r="O192" i="3" s="1"/>
  <c r="M203" i="3"/>
  <c r="N203" i="3" s="1"/>
  <c r="O203" i="3" s="1"/>
  <c r="M202" i="3"/>
  <c r="N202" i="3" s="1"/>
  <c r="O202" i="3" s="1"/>
  <c r="M190" i="3"/>
  <c r="N190" i="3" s="1"/>
  <c r="O190" i="3" s="1"/>
  <c r="M213" i="3"/>
  <c r="N213" i="3" s="1"/>
  <c r="O213" i="3" s="1"/>
  <c r="M201" i="3"/>
  <c r="N201" i="3" s="1"/>
  <c r="O201" i="3" s="1"/>
  <c r="M189" i="3"/>
  <c r="N189" i="3" s="1"/>
  <c r="O189" i="3" s="1"/>
  <c r="M212" i="3"/>
  <c r="N212" i="3" s="1"/>
  <c r="O212" i="3" s="1"/>
  <c r="M200" i="3"/>
  <c r="N200" i="3" s="1"/>
  <c r="O200" i="3" s="1"/>
  <c r="M188" i="3"/>
  <c r="N188" i="3" s="1"/>
  <c r="O188" i="3" s="1"/>
  <c r="L185" i="3"/>
  <c r="K216" i="3"/>
  <c r="K184" i="3"/>
  <c r="J216" i="3"/>
  <c r="S185" i="3" l="1"/>
  <c r="M185" i="3"/>
  <c r="M216" i="3" l="1"/>
  <c r="N185" i="3"/>
  <c r="O185" i="3" s="1"/>
</calcChain>
</file>

<file path=xl/sharedStrings.xml><?xml version="1.0" encoding="utf-8"?>
<sst xmlns="http://schemas.openxmlformats.org/spreadsheetml/2006/main" count="1294" uniqueCount="551">
  <si>
    <t>SD 5</t>
  </si>
  <si>
    <t>SD MARIA FRANSISKA</t>
  </si>
  <si>
    <t>Vincentius Adyatma Pandhitamanka</t>
  </si>
  <si>
    <t>Gavriel Adelino Wijaya</t>
  </si>
  <si>
    <t>21018</t>
  </si>
  <si>
    <t>SD 4</t>
  </si>
  <si>
    <t>Dimitrij Velastato Elsker Jethro Zdhana</t>
  </si>
  <si>
    <t>21014</t>
  </si>
  <si>
    <t>Emanuella Jovinda Glory Sihombing</t>
  </si>
  <si>
    <t>20929</t>
  </si>
  <si>
    <t>Carissa Ileana Rompas</t>
  </si>
  <si>
    <t>20893</t>
  </si>
  <si>
    <t>Kristina  Yohana Damaria Siahaan</t>
  </si>
  <si>
    <t>20892</t>
  </si>
  <si>
    <t>Callysta Neguita Irva Brahmana</t>
  </si>
  <si>
    <t>20891</t>
  </si>
  <si>
    <t>Jordan Marulito Simbolon</t>
  </si>
  <si>
    <t>20890</t>
  </si>
  <si>
    <t>Naomi Sasmitha Vembriarto</t>
  </si>
  <si>
    <t>20884</t>
  </si>
  <si>
    <t>Aurelia De Nama Gore</t>
  </si>
  <si>
    <t>20882</t>
  </si>
  <si>
    <t>Azio Brayden Jannes Baretha</t>
  </si>
  <si>
    <t>20881</t>
  </si>
  <si>
    <t>Hanzel Oliver Lawongan</t>
  </si>
  <si>
    <t>20880</t>
  </si>
  <si>
    <t>Angelica Carolina Clara  Ndapa</t>
  </si>
  <si>
    <t>20879</t>
  </si>
  <si>
    <t>Athena Zoya Adeeva</t>
  </si>
  <si>
    <t>20878</t>
  </si>
  <si>
    <t>Abigail Jesselyn Carissa</t>
  </si>
  <si>
    <t>20877</t>
  </si>
  <si>
    <t>Anelsa De'Merekel Tobing</t>
  </si>
  <si>
    <t>20876</t>
  </si>
  <si>
    <t>Dion Alexander Natogu Purba</t>
  </si>
  <si>
    <t>20875</t>
  </si>
  <si>
    <t>Amora Naffanael Hasiana</t>
  </si>
  <si>
    <t>20874</t>
  </si>
  <si>
    <t>Michelle Immanuel Yoenatan</t>
  </si>
  <si>
    <t>20873</t>
  </si>
  <si>
    <t>Alle Gracio Hasudungan Sianturi</t>
  </si>
  <si>
    <t>20872</t>
  </si>
  <si>
    <t>Louisa Paskahrani Situmorang</t>
  </si>
  <si>
    <t>20871</t>
  </si>
  <si>
    <t>Ramos Ronaldo Michael</t>
  </si>
  <si>
    <t>20870</t>
  </si>
  <si>
    <t>Julio Caesar Oenang</t>
  </si>
  <si>
    <t>20869</t>
  </si>
  <si>
    <t>Tobias William Assa</t>
  </si>
  <si>
    <t>20868</t>
  </si>
  <si>
    <t>Giovan Alvaro Martuasidauruk</t>
  </si>
  <si>
    <t>20867</t>
  </si>
  <si>
    <t>Alfredo Keitaro Marudut Sihotang</t>
  </si>
  <si>
    <t>20866</t>
  </si>
  <si>
    <t>Maria Almanaya Noandari</t>
  </si>
  <si>
    <t>20865</t>
  </si>
  <si>
    <t>Johana Natania Iskandar</t>
  </si>
  <si>
    <t>20864</t>
  </si>
  <si>
    <t>Lars Christiansen Sianipar</t>
  </si>
  <si>
    <t>20863</t>
  </si>
  <si>
    <t>Evan Dareen Partogi Naibaho</t>
  </si>
  <si>
    <t>20861</t>
  </si>
  <si>
    <t>Nathanael Toares Pakasi</t>
  </si>
  <si>
    <t>20860</t>
  </si>
  <si>
    <t>Mikael Bayanaka Adhitya</t>
  </si>
  <si>
    <t>20931</t>
  </si>
  <si>
    <t>SD 3</t>
  </si>
  <si>
    <t>Michelle Maharani Uli Parapat</t>
  </si>
  <si>
    <t>20930</t>
  </si>
  <si>
    <t>Gavrila E. Avigail Simanjuntak</t>
  </si>
  <si>
    <t>20928</t>
  </si>
  <si>
    <t>20927</t>
  </si>
  <si>
    <t>Alexandra Exia Bastiaans</t>
  </si>
  <si>
    <t>20922</t>
  </si>
  <si>
    <t>Mikael Alexandrio</t>
  </si>
  <si>
    <t>20921</t>
  </si>
  <si>
    <t>Marco Reus Partogi Simorangkir</t>
  </si>
  <si>
    <t>20920</t>
  </si>
  <si>
    <t>Mahitala Mashari</t>
  </si>
  <si>
    <t>20919</t>
  </si>
  <si>
    <t>Nakayga Rosalimo Sixtus Darman Putera</t>
  </si>
  <si>
    <t>20918</t>
  </si>
  <si>
    <t>Stevander Nathaniel Sutiono</t>
  </si>
  <si>
    <t>20916</t>
  </si>
  <si>
    <t xml:space="preserve">Alvin Gevariel </t>
  </si>
  <si>
    <t>20915</t>
  </si>
  <si>
    <t>Timothy Wismar B Simanjuntak</t>
  </si>
  <si>
    <t>20914</t>
  </si>
  <si>
    <t>Vinaya Sukma Samiraharjo</t>
  </si>
  <si>
    <t>20913</t>
  </si>
  <si>
    <t>Agatha Yumiko Gunawan</t>
  </si>
  <si>
    <t>20912</t>
  </si>
  <si>
    <t>Andreas Alvaro Sulistyo</t>
  </si>
  <si>
    <t>20911</t>
  </si>
  <si>
    <t>Otniel Lincoln Assa</t>
  </si>
  <si>
    <t>20910</t>
  </si>
  <si>
    <t>Daniel Baginda Shalom Siregar</t>
  </si>
  <si>
    <t>20909</t>
  </si>
  <si>
    <t>Joymora Silalahi</t>
  </si>
  <si>
    <t>20908</t>
  </si>
  <si>
    <t>Galuh Kirana Ayu Kalyani</t>
  </si>
  <si>
    <t>20907</t>
  </si>
  <si>
    <t>Bella Nathania LP</t>
  </si>
  <si>
    <t>20906</t>
  </si>
  <si>
    <t>Christiano Parulian Panjaitan</t>
  </si>
  <si>
    <t>20905</t>
  </si>
  <si>
    <t>Caesar Partogi Franklie Napitupulu</t>
  </si>
  <si>
    <t>20904</t>
  </si>
  <si>
    <t>Callista Reina Rareza</t>
  </si>
  <si>
    <t>20903</t>
  </si>
  <si>
    <t>Nathanael Jordan Hopen Pasaribu</t>
  </si>
  <si>
    <t>20902</t>
  </si>
  <si>
    <t>Genoveva Audita Stella Ria</t>
  </si>
  <si>
    <t>20901</t>
  </si>
  <si>
    <t>Josephine Alexandra Mikaella</t>
  </si>
  <si>
    <t>20900</t>
  </si>
  <si>
    <t>Sharlene Christadela Setiawan</t>
  </si>
  <si>
    <t>20899</t>
  </si>
  <si>
    <t>SD 2</t>
  </si>
  <si>
    <t>Clourance Anna Meriesca Kipuw</t>
  </si>
  <si>
    <t>20972</t>
  </si>
  <si>
    <t>Jendral Folyd Alezkiel Mosse Umboh</t>
  </si>
  <si>
    <t>20970</t>
  </si>
  <si>
    <t>Ocean Abigail Sava</t>
  </si>
  <si>
    <t>20968</t>
  </si>
  <si>
    <t>Catharina De Nama Gore</t>
  </si>
  <si>
    <t>20967</t>
  </si>
  <si>
    <t>Kezia Edelina Hopaya</t>
  </si>
  <si>
    <t>20966</t>
  </si>
  <si>
    <t>Haifa Felicia Kana</t>
  </si>
  <si>
    <t>20965</t>
  </si>
  <si>
    <t>Kefas Hikmat Parapat</t>
  </si>
  <si>
    <t>20964</t>
  </si>
  <si>
    <t>Felicia Chelsea  Achiera</t>
  </si>
  <si>
    <t>20962</t>
  </si>
  <si>
    <t>Suci Aprilia Boru Pakpahan</t>
  </si>
  <si>
    <t>20961</t>
  </si>
  <si>
    <t>Josephine Elleanor Putri Zulkarnaen</t>
  </si>
  <si>
    <t>20960</t>
  </si>
  <si>
    <t>Alessandra Nesta Leticia Sabang</t>
  </si>
  <si>
    <t>20958</t>
  </si>
  <si>
    <t>Natania Juanlita Tere Damanik</t>
  </si>
  <si>
    <t>20957</t>
  </si>
  <si>
    <t>20956</t>
  </si>
  <si>
    <t>Matthew Toti Alberto Purba</t>
  </si>
  <si>
    <t>20955</t>
  </si>
  <si>
    <t>Gabriella Esther Setyawan Siregar</t>
  </si>
  <si>
    <t>20954</t>
  </si>
  <si>
    <t>Callysta Nathania Eleanor Tiwatu</t>
  </si>
  <si>
    <t>20953</t>
  </si>
  <si>
    <t>Constantine Danish Faustino Sinaga</t>
  </si>
  <si>
    <t>20952</t>
  </si>
  <si>
    <t>Arka Juna Setiawan</t>
  </si>
  <si>
    <t>20951</t>
  </si>
  <si>
    <t>Immanuel Marcello Widjaja</t>
  </si>
  <si>
    <t>20950</t>
  </si>
  <si>
    <t>Raptama Parmanto Hutagalung</t>
  </si>
  <si>
    <t>20949</t>
  </si>
  <si>
    <t>Ashka Dean Ethan Samuel</t>
  </si>
  <si>
    <t>20948</t>
  </si>
  <si>
    <t>Kezlien Heavenly Anna Siregar</t>
  </si>
  <si>
    <t>20947</t>
  </si>
  <si>
    <t>Christianov Jevan Maruli Sitohang</t>
  </si>
  <si>
    <t>20946</t>
  </si>
  <si>
    <t>Kenzo Duke Pangerapan</t>
  </si>
  <si>
    <t>20945</t>
  </si>
  <si>
    <t>Nikkilaus Emanuel Lauda</t>
  </si>
  <si>
    <t>20944</t>
  </si>
  <si>
    <t>Deliana Rebecca Serumpaet</t>
  </si>
  <si>
    <t>20943</t>
  </si>
  <si>
    <t>Klara Libby Hendrata</t>
  </si>
  <si>
    <t>20942</t>
  </si>
  <si>
    <t>Aerilyn Bellvania Jasmine</t>
  </si>
  <si>
    <t>20941</t>
  </si>
  <si>
    <t>Angela Atanaya Krisannoella</t>
  </si>
  <si>
    <t>20940</t>
  </si>
  <si>
    <t>Segara Pranadipta Darma</t>
  </si>
  <si>
    <t>20939</t>
  </si>
  <si>
    <t>Jullian Khezar Oenang</t>
  </si>
  <si>
    <t>20938</t>
  </si>
  <si>
    <t>Milan Halomoan Parapat</t>
  </si>
  <si>
    <t>20937</t>
  </si>
  <si>
    <t>Stefanus Narendra Mahardika</t>
  </si>
  <si>
    <t>20936</t>
  </si>
  <si>
    <t>Clara Regina Edeline Pasaribu</t>
  </si>
  <si>
    <t>20935</t>
  </si>
  <si>
    <t>Prisqilla Madalexa Agung Marunduri</t>
  </si>
  <si>
    <t>20934</t>
  </si>
  <si>
    <t>Nathania Pricyla Gardenia Manurung</t>
  </si>
  <si>
    <t>20933</t>
  </si>
  <si>
    <t>Maxwell Gerrard Pakpahan</t>
  </si>
  <si>
    <t>21016</t>
  </si>
  <si>
    <t>SD 1</t>
  </si>
  <si>
    <t>Louis Xavier Ongkowijoyo</t>
  </si>
  <si>
    <t>21015</t>
  </si>
  <si>
    <t>Louisa Kirana Sekar Putranto</t>
  </si>
  <si>
    <t>Aldrich Luke Pangerapan</t>
  </si>
  <si>
    <t>Kenneth Markus Albiano</t>
  </si>
  <si>
    <t>Gwyneth Oliver Lawongan</t>
  </si>
  <si>
    <t>Clemens Xavier</t>
  </si>
  <si>
    <t>Adriell Davian Santoso</t>
  </si>
  <si>
    <t>Jethro Anugrah</t>
  </si>
  <si>
    <t>Millardphia Gregorius Manulang</t>
  </si>
  <si>
    <t>Mazel Sophia Joevanca</t>
  </si>
  <si>
    <t>Giselle Adriella V</t>
  </si>
  <si>
    <t>Alexander Banyu Bawono</t>
  </si>
  <si>
    <t>Eleanor Sara Mumu</t>
  </si>
  <si>
    <t>Stanislaus Gilang Nugroho</t>
  </si>
  <si>
    <t>Adriano Tulus Sirait</t>
  </si>
  <si>
    <t>Gracelyn Shirly Esthercia</t>
  </si>
  <si>
    <t>Gevarel Inarai Falco Tombeg</t>
  </si>
  <si>
    <t>Arthur Reizo Gunawan</t>
  </si>
  <si>
    <t>Emelly Josina Wirawan</t>
  </si>
  <si>
    <t>Cicera Tamana Flavia Sinaga</t>
  </si>
  <si>
    <t xml:space="preserve">Given Arya Satria </t>
  </si>
  <si>
    <t>Elora Jennnifer Elisya Damanik</t>
  </si>
  <si>
    <t>Chelidonia Cantika Sulistyo</t>
  </si>
  <si>
    <t>Jenoah Pangomoan Simarmata</t>
  </si>
  <si>
    <t>Deanda Vianney Hadiwarsito</t>
  </si>
  <si>
    <t>TKB</t>
  </si>
  <si>
    <t>KB/TK MARIA YACINTHA</t>
  </si>
  <si>
    <t>Morgan Timothy Marbun</t>
  </si>
  <si>
    <t>Michelle Claire Eleanor Tiwatu</t>
  </si>
  <si>
    <t>Sesilia Crista Avariella</t>
  </si>
  <si>
    <t>Ralph Aldrich Siregar</t>
  </si>
  <si>
    <t>Queenbee Valery Siregar</t>
  </si>
  <si>
    <t>Kristoforus Makara Nawasena</t>
  </si>
  <si>
    <t>Gavriel Evencio Elvano</t>
  </si>
  <si>
    <t>Elisabeth Anneta Daput</t>
  </si>
  <si>
    <t>TKA</t>
  </si>
  <si>
    <t>Alderan Lauwrence Hendryanto</t>
  </si>
  <si>
    <t>Fransesco Xavier Marcello Damanik</t>
  </si>
  <si>
    <t>Chalvaro Tristan Lolowang</t>
  </si>
  <si>
    <t>Mika Ray Olivier</t>
  </si>
  <si>
    <t>vbca ukeg</t>
  </si>
  <si>
    <t>vbca usek</t>
  </si>
  <si>
    <t>anak baru</t>
  </si>
  <si>
    <t>ukeg_cetak</t>
  </si>
  <si>
    <t>usek_cetak</t>
  </si>
  <si>
    <t>KET</t>
  </si>
  <si>
    <t>DAFTAR ULANG</t>
  </si>
  <si>
    <t>U.KEG BARU</t>
  </si>
  <si>
    <t>USEK 2024/2025</t>
  </si>
  <si>
    <t>USEK 2023/2024</t>
  </si>
  <si>
    <t>USEK 2022/2023</t>
  </si>
  <si>
    <t>USEK 20/21-21/22</t>
  </si>
  <si>
    <t>USEK 17/18</t>
  </si>
  <si>
    <t>USEK LAMA</t>
  </si>
  <si>
    <t>STATUS</t>
  </si>
  <si>
    <t>NAMA SISWA</t>
  </si>
  <si>
    <t>SISWA-ID</t>
  </si>
  <si>
    <t>KELAS</t>
  </si>
  <si>
    <t>UNIT</t>
  </si>
  <si>
    <t>NO</t>
  </si>
  <si>
    <t>SMA 12</t>
  </si>
  <si>
    <t>SMA PAX PATRIAE</t>
  </si>
  <si>
    <t>SMP 9</t>
  </si>
  <si>
    <t>SMP PAX ECCLESIA</t>
  </si>
  <si>
    <t>Aurellia Hon</t>
  </si>
  <si>
    <t>Rellyn Ruth Magdalena</t>
  </si>
  <si>
    <t>Monica Agatha Mujiburohman</t>
  </si>
  <si>
    <t>SD 6</t>
  </si>
  <si>
    <t>Dareen Yuda Adrian Siahaan</t>
  </si>
  <si>
    <t>James Evander Tandinata</t>
  </si>
  <si>
    <t>Andreas Dhanu Wicaksono</t>
  </si>
  <si>
    <t>Joshua Matthew Wardana</t>
  </si>
  <si>
    <t>Kenneth Davis Saleh</t>
  </si>
  <si>
    <t>Hansen Linardi</t>
  </si>
  <si>
    <t>U.UJIAN</t>
  </si>
  <si>
    <t>Esha Matthew Mujiburohman</t>
  </si>
  <si>
    <t>30853</t>
  </si>
  <si>
    <t>SMP 8</t>
  </si>
  <si>
    <t>Fabregas Benedict</t>
  </si>
  <si>
    <t>30851</t>
  </si>
  <si>
    <t>Amanda Pongtambing</t>
  </si>
  <si>
    <t>30810</t>
  </si>
  <si>
    <t>Natasha Clear Rehata</t>
  </si>
  <si>
    <t>30809</t>
  </si>
  <si>
    <t xml:space="preserve">Firalda Lambe Kamoda </t>
  </si>
  <si>
    <t>30808</t>
  </si>
  <si>
    <t>Desinda Mastiur Manurung</t>
  </si>
  <si>
    <t>30807</t>
  </si>
  <si>
    <t>Angelica Gishella Novanda</t>
  </si>
  <si>
    <t>30806</t>
  </si>
  <si>
    <t>Alvieza Van Devan</t>
  </si>
  <si>
    <t>30805</t>
  </si>
  <si>
    <t>Rachel Mikha David</t>
  </si>
  <si>
    <t>30804</t>
  </si>
  <si>
    <t>Paul Saerang</t>
  </si>
  <si>
    <t>30803</t>
  </si>
  <si>
    <t>Ido Nathanael Manalu</t>
  </si>
  <si>
    <t>30802</t>
  </si>
  <si>
    <t>Carlen Cool</t>
  </si>
  <si>
    <t>30800</t>
  </si>
  <si>
    <t>Jassmyne Carolyne Annabelle</t>
  </si>
  <si>
    <t>30799</t>
  </si>
  <si>
    <t>Mario Fransiskus</t>
  </si>
  <si>
    <t>30798</t>
  </si>
  <si>
    <t>Jeremy William Hasiholan Simanjuntak</t>
  </si>
  <si>
    <t>30797</t>
  </si>
  <si>
    <t>Kerubim Tri Santoso Jati</t>
  </si>
  <si>
    <t>30796</t>
  </si>
  <si>
    <t>Orlando Michael Triyadhi</t>
  </si>
  <si>
    <t>30795</t>
  </si>
  <si>
    <t>Sabian Nalvi Kin Ribery</t>
  </si>
  <si>
    <t>30794</t>
  </si>
  <si>
    <t>Chiko Chandra</t>
  </si>
  <si>
    <t>30792</t>
  </si>
  <si>
    <t>Alvaro Reynard Vito Marbun</t>
  </si>
  <si>
    <t>30791</t>
  </si>
  <si>
    <t>Imanuel Lantar Nirbana</t>
  </si>
  <si>
    <t>30790</t>
  </si>
  <si>
    <t>Yesua Lionel Adhi Setiawan</t>
  </si>
  <si>
    <t>30789</t>
  </si>
  <si>
    <t>Jennifer Michella Ong</t>
  </si>
  <si>
    <t>30788</t>
  </si>
  <si>
    <t>Jessica Michaella Ong</t>
  </si>
  <si>
    <t>30787</t>
  </si>
  <si>
    <t>Josef Wojtyla Alexander William</t>
  </si>
  <si>
    <t>30786</t>
  </si>
  <si>
    <t>Vanessa Joycelyn Lugito</t>
  </si>
  <si>
    <t>30785</t>
  </si>
  <si>
    <t>Elisabeth Yangky</t>
  </si>
  <si>
    <t>30784</t>
  </si>
  <si>
    <t>Kent Elbert Yap</t>
  </si>
  <si>
    <t>30783</t>
  </si>
  <si>
    <t>Gabrielle Justine Kidding Allo</t>
  </si>
  <si>
    <t>30782</t>
  </si>
  <si>
    <t>Regina Aurelia Subowo</t>
  </si>
  <si>
    <t>30781</t>
  </si>
  <si>
    <t>Felix Brema Sitepu</t>
  </si>
  <si>
    <t>30780</t>
  </si>
  <si>
    <t xml:space="preserve">Noah Brighton Pribadi </t>
  </si>
  <si>
    <t>30779</t>
  </si>
  <si>
    <t>Nicholas Edward Brandon</t>
  </si>
  <si>
    <t>30778</t>
  </si>
  <si>
    <t>Marcellino Ignatius Sirait</t>
  </si>
  <si>
    <t>30777</t>
  </si>
  <si>
    <t>Andrew Koji  Maduma Sihotang</t>
  </si>
  <si>
    <t>30776</t>
  </si>
  <si>
    <t>Marissa Joanita</t>
  </si>
  <si>
    <t>30775</t>
  </si>
  <si>
    <t>Yudika Maruli Tua Sitorus</t>
  </si>
  <si>
    <t>SMP 7</t>
  </si>
  <si>
    <t>Daniel Alexander Sitorus</t>
  </si>
  <si>
    <t>Jessica Vicenxia</t>
  </si>
  <si>
    <t>Damian Habel Maximillianus</t>
  </si>
  <si>
    <t>Darlene Stefanie Immanuella Saerang</t>
  </si>
  <si>
    <t>Lionel Wifly Lay</t>
  </si>
  <si>
    <t>Kanaya Gabriella Alberto</t>
  </si>
  <si>
    <t>Gevarel Seno Bharata</t>
  </si>
  <si>
    <t>Marcello Chris Setiawan</t>
  </si>
  <si>
    <t>Angel Raditya Williyana Puteri</t>
  </si>
  <si>
    <t>Brigitta Zea Ardiaputri</t>
  </si>
  <si>
    <t>Afonsus Noel Gamaliel Sibarani</t>
  </si>
  <si>
    <t xml:space="preserve">Agustinho Nathanael </t>
  </si>
  <si>
    <t xml:space="preserve">Darren Phang </t>
  </si>
  <si>
    <t>Kristen Marissa Selvy Siahaan</t>
  </si>
  <si>
    <t>Mikael Geraldo Bestrava</t>
  </si>
  <si>
    <t>Clarissa Yuna Setiawan</t>
  </si>
  <si>
    <t>Jeanne Gabriela Kirana Larasati</t>
  </si>
  <si>
    <t>Yehezkiel Rosdiyanto</t>
  </si>
  <si>
    <t>Reyna Theresa Manuella</t>
  </si>
  <si>
    <t>Kyra Marischa Siregar</t>
  </si>
  <si>
    <t>Nicholas Setiawan</t>
  </si>
  <si>
    <t>Nicholas Melvin</t>
  </si>
  <si>
    <t xml:space="preserve">Audrey Clarissa Wihardjo </t>
  </si>
  <si>
    <t>Leticia Chandra Winata</t>
  </si>
  <si>
    <t>Isabella Gracia Sidabutar</t>
  </si>
  <si>
    <t>Rachel Mervinda Glory Sihombing</t>
  </si>
  <si>
    <t>Adrianus Tegar P</t>
  </si>
  <si>
    <t>SMA 11</t>
  </si>
  <si>
    <t>Worldman Christopher Tumanggor</t>
  </si>
  <si>
    <t>SMA 10</t>
  </si>
  <si>
    <t>Lionel Adriel Sembiring</t>
  </si>
  <si>
    <t>Jessyca Angelyne Terezia</t>
  </si>
  <si>
    <t>Mosen Sitepu</t>
  </si>
  <si>
    <t>William Nathaniel</t>
  </si>
  <si>
    <t>Anthony Abed Nego</t>
  </si>
  <si>
    <t>Brian Earlino</t>
  </si>
  <si>
    <t>Quinsha Filiamurti Ginting</t>
  </si>
  <si>
    <t>Rafa Bernard Elia</t>
  </si>
  <si>
    <t>Tiffany Christie Ong</t>
  </si>
  <si>
    <t>Aurellia Benedicta Suherman</t>
  </si>
  <si>
    <t>Azarya Junior Wijanarko</t>
  </si>
  <si>
    <t>Katerina Karina</t>
  </si>
  <si>
    <t>Maria Laudia Destrianti</t>
  </si>
  <si>
    <t>Marcellius Wijaya Sitepu</t>
  </si>
  <si>
    <t>U. KEGIATAN</t>
  </si>
  <si>
    <t>NAMA</t>
  </si>
  <si>
    <t>ID</t>
  </si>
  <si>
    <t>KLS</t>
  </si>
  <si>
    <t>ANAK GURU DAN KARYAWAN</t>
  </si>
  <si>
    <t>TOTAL</t>
  </si>
  <si>
    <t>TK B</t>
  </si>
  <si>
    <t>TK A</t>
  </si>
  <si>
    <t>JUMLAH/RP</t>
  </si>
  <si>
    <t>TAHUN 2022-2023</t>
  </si>
  <si>
    <t>TAHUN 2021-2022</t>
  </si>
  <si>
    <t xml:space="preserve">PEMASUKAN UANG SEKOLAH </t>
  </si>
  <si>
    <t>USEK 2025/2026</t>
  </si>
  <si>
    <t>Anastasya Angelin Dura</t>
  </si>
  <si>
    <t>Lionel Marthin Siregar</t>
  </si>
  <si>
    <t>Yogi Fabianus Hutabarat</t>
  </si>
  <si>
    <t>Azura Eleanore Garviano</t>
  </si>
  <si>
    <t xml:space="preserve">Nathan Ekin Bryn </t>
  </si>
  <si>
    <t xml:space="preserve">Edward Anry Wungkana </t>
  </si>
  <si>
    <t>Casals Forluck Gregory Sinaga</t>
  </si>
  <si>
    <t>Ni Luh Delfina</t>
  </si>
  <si>
    <t>Lidwina Vea Ardiaputri</t>
  </si>
  <si>
    <t>Cinta Manuella Widjaja</t>
  </si>
  <si>
    <t>Elliot Johannes Mumu</t>
  </si>
  <si>
    <t>Kaelyon Manandy Sanggelorang</t>
  </si>
  <si>
    <t>Zico Owen Bimasena Sabang</t>
  </si>
  <si>
    <t>Abimanyu Benjamin Moerseto</t>
  </si>
  <si>
    <t>Antonio Xavier Ashero</t>
  </si>
  <si>
    <t>Samantha Felicia Seraphine Siahaan</t>
  </si>
  <si>
    <t>Caroline Valentina</t>
  </si>
  <si>
    <t>Dominica Aura Stella Ria</t>
  </si>
  <si>
    <t>Jose Alvaro Anthony</t>
  </si>
  <si>
    <t>Adeline Joy Jovanca Bangun</t>
  </si>
  <si>
    <t>Galilea Kayla Sihombing</t>
  </si>
  <si>
    <t>Iona Gracia Siregar</t>
  </si>
  <si>
    <t>Mikhayla Ilona Muliawan</t>
  </si>
  <si>
    <t>Patricia Nickola Gwyneth</t>
  </si>
  <si>
    <t>Abednego Evander Porman Manurung</t>
  </si>
  <si>
    <t>Pradipta Respati Adniel Susilo</t>
  </si>
  <si>
    <t>PG</t>
  </si>
  <si>
    <t>Suan Natama Arete Sihombing</t>
  </si>
  <si>
    <t>Bryant Johannes Haposan Budiyanto</t>
  </si>
  <si>
    <t>Joseph Valentino Yohanes</t>
  </si>
  <si>
    <t>Bruce Warren Cool</t>
  </si>
  <si>
    <t>21037</t>
  </si>
  <si>
    <t>Mechtildis Angelia Lovely</t>
  </si>
  <si>
    <t>Firman Kamoda Lambe</t>
  </si>
  <si>
    <t>Rafael Hendrico Riberu</t>
  </si>
  <si>
    <t>Lovisa Angelina Putri Pranolo</t>
  </si>
  <si>
    <t>Alvaro Andre Tores Sitorus</t>
  </si>
  <si>
    <t>Novela Panggabean</t>
  </si>
  <si>
    <t>Aurea Pradana Putriasa</t>
  </si>
  <si>
    <t>Stephanie Christy Gunardi</t>
  </si>
  <si>
    <t>Daniel Xaviero Lianto</t>
  </si>
  <si>
    <t>Jonathan Kevin Ongkowijoyo</t>
  </si>
  <si>
    <t>Felicia Yiwenny</t>
  </si>
  <si>
    <t>Alvonso Leeandro</t>
  </si>
  <si>
    <t>Vincentius Rafael</t>
  </si>
  <si>
    <t>TAHUN 2025-2026</t>
  </si>
  <si>
    <t>JUMLAH/BLN/RP</t>
  </si>
  <si>
    <t>USEK 2026/2027</t>
  </si>
  <si>
    <t>6</t>
  </si>
  <si>
    <t>9</t>
  </si>
  <si>
    <t xml:space="preserve">USEK STANDAR </t>
  </si>
  <si>
    <t>Caroline Cataleya Chandra</t>
  </si>
  <si>
    <t>Hanung Motoaki Rahmantio</t>
  </si>
  <si>
    <t>Jovanka Darma Putri</t>
  </si>
  <si>
    <t>Natanael Joshua Adriel Damanik</t>
  </si>
  <si>
    <t>Brigitta Chantika Eliana Simamora</t>
  </si>
  <si>
    <t>Abraham Shankara Pandhitamanka</t>
  </si>
  <si>
    <t>Gabriel Tamada Purba</t>
  </si>
  <si>
    <t>Charro Sean Victory Barus</t>
  </si>
  <si>
    <t>Harapan Kalandra Shevchenco Bangun</t>
  </si>
  <si>
    <t>Alton Keniaru</t>
  </si>
  <si>
    <t>Imanuel Febrice Alton</t>
  </si>
  <si>
    <t>Nathan Hotman Parulian Sagala</t>
  </si>
  <si>
    <t>Anara Shalom Hutagalung</t>
  </si>
  <si>
    <t>Farsada Bagas Situngkir</t>
  </si>
  <si>
    <t>Maverick Elijah Sondakh</t>
  </si>
  <si>
    <t>Johanes Junior Edward</t>
  </si>
  <si>
    <t>Ivy Emilia Sondakh</t>
  </si>
  <si>
    <t>usek juli26 + ukeg lunas</t>
  </si>
  <si>
    <t>Valerina Claretta T</t>
  </si>
  <si>
    <t>Michael Dominique Ongkowijoyo</t>
  </si>
  <si>
    <t>USEK CETAK</t>
  </si>
  <si>
    <t>USEK 2026/2027 KLS 6</t>
  </si>
  <si>
    <t>Effraim Yudha Sihotang</t>
  </si>
  <si>
    <t>Abell Matthew Malobu</t>
  </si>
  <si>
    <t xml:space="preserve">Nathanael Albert Lemuel </t>
  </si>
  <si>
    <t xml:space="preserve">Javier Ellisheva Nathan </t>
  </si>
  <si>
    <t>Zefanya Pangihutan Silalahi</t>
  </si>
  <si>
    <t>Tabitha Tholoan Sianipar</t>
  </si>
  <si>
    <t>Jetro Gamara Kolo</t>
  </si>
  <si>
    <t>Justine Valentino</t>
  </si>
  <si>
    <t>Andeas Emmanuel Luhut Wirya Budiyanto</t>
  </si>
  <si>
    <t>Rachel Mikha</t>
  </si>
  <si>
    <t>Felix Brehma Sitepu</t>
  </si>
  <si>
    <t>Christopher Hary Nathaniel</t>
  </si>
  <si>
    <t>Jesselyne Emmanuella Quiko</t>
  </si>
  <si>
    <t>Sabian Nalvi Kin R.</t>
  </si>
  <si>
    <t>Marcelino Ignatius Sirait</t>
  </si>
  <si>
    <t xml:space="preserve">Darren Andreas Xavier Marbun </t>
  </si>
  <si>
    <t>Kimberly Wynn Cool</t>
  </si>
  <si>
    <t>USEK 2026-2027 KLS 9 &amp; 12</t>
  </si>
  <si>
    <t>Mikaela Natasya Indrat Saputra</t>
  </si>
  <si>
    <t>Arnoldus Saka Kastanya</t>
  </si>
  <si>
    <t>Benedictus Dimas Nugroho</t>
  </si>
  <si>
    <t>Bryna Teofani Jocelyn Bangun</t>
  </si>
  <si>
    <t>Lanang Ganendra Pratama</t>
  </si>
  <si>
    <t>Patricia Florence Damanik</t>
  </si>
  <si>
    <t>Sadrakh Shankara Simamora</t>
  </si>
  <si>
    <t>Madu Daniel Chukwubuikem</t>
  </si>
  <si>
    <t>LUNAS USEK 1 TH</t>
  </si>
  <si>
    <t>LUNAS</t>
  </si>
  <si>
    <t xml:space="preserve">Alkuin Brahmantyo Abadi </t>
  </si>
  <si>
    <t>Chigozie Isaac Chris</t>
  </si>
  <si>
    <t>Cornelius Zionatha Duha</t>
  </si>
  <si>
    <t>Grace Carollyn Eleanor Tiawatu</t>
  </si>
  <si>
    <t>Kizi Adaugo Emmanuel</t>
  </si>
  <si>
    <t>Usek Juli 2026 Lunas</t>
  </si>
  <si>
    <t>U.KEG</t>
  </si>
  <si>
    <t>Cheryl Jireh Nissi</t>
  </si>
  <si>
    <t>Charlene Queenishia Cool</t>
  </si>
  <si>
    <t>Fransisco Kevin Immanuel</t>
  </si>
  <si>
    <t>Genara Aretha Natauli Sidauruk</t>
  </si>
  <si>
    <t>Avshalom Thomas Harefa</t>
  </si>
  <si>
    <t>Xavera Sabrina Mehitahelle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</si>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</sst>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Rp&quot;* #,##0_);_(&quot;Rp&quot;* \(#,##0\);_(&quot;Rp&quot;* &quot;-&quot;_);_(@_)"/>
    <numFmt numFmtId="41" formatCode="_(* #,##0_);_(* \(#,##0\);_(* &quot;-&quot;_);_(@_)"/>
    <numFmt numFmtId="164" formatCode="_-&quot;Rp&quot;* #,##0_-;\-&quot;Rp&quot;* #,##0_-;_-&quot;Rp&quot;* &quot;-&quot;_-;_-@_-"/>
    <numFmt numFmtId="165" formatCode="_-* #,##0_-;\-* #,##0_-;_-* &quot;-&quot;_-;_-@_-"/>
    <numFmt numFmtId="166" formatCode="_-&quot;Rp&quot;* #,##0.00_-;\-&quot;Rp&quot;* #,##0.00_-;_-&quot;Rp&quot;* &quot;-&quot;??_-;_-@_-"/>
    <numFmt numFmtId="167" formatCode="[$Rp-421]#,##0"/>
    <numFmt numFmtId="168" formatCode="_([$Rp-421]* #,##0_);_([$Rp-421]* \(#,##0\);_([$Rp-421]* &quot;-&quot;_);_(@_)"/>
    <numFmt numFmtId="169" formatCode="_-[$Rp-421]* #,##0_-;\-[$Rp-421]* #,##0_-;_-[$Rp-421]* &quot;-&quot;_-;_-@_-"/>
    <numFmt numFmtId="170" formatCode="_-[$Rp-421]* #,##0_-;\-[$Rp-421]* #,##0_-;_-[$Rp-421]* &quot;-&quot;??_-;_-@_-"/>
    <numFmt numFmtId="171" formatCode="_-[$Rp-3809]* #,##0_-;\-[$Rp-3809]* #,##0_-;_-[$Rp-3809]* &quot;-&quot;_-;_-@_-"/>
  </numFmts>
  <fonts count="4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 Light"/>
      <family val="1"/>
      <scheme val="major"/>
    </font>
    <font>
      <sz val="10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1"/>
      <color theme="0"/>
      <name val="Calibri"/>
      <family val="2"/>
    </font>
    <font>
      <sz val="11"/>
      <name val="Calibri Light"/>
      <family val="1"/>
      <scheme val="maj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 Light"/>
      <family val="1"/>
      <scheme val="major"/>
    </font>
    <font>
      <b/>
      <sz val="11"/>
      <name val="Calibri"/>
      <family val="2"/>
      <scheme val="minor"/>
    </font>
    <font>
      <sz val="11"/>
      <color theme="1"/>
      <name val="Book Antiqua"/>
      <family val="1"/>
    </font>
    <font>
      <sz val="10"/>
      <name val="Calibri Light"/>
      <family val="1"/>
      <scheme val="major"/>
    </font>
    <font>
      <sz val="10"/>
      <color theme="1"/>
      <name val="Book Antiqua"/>
      <family val="1"/>
    </font>
    <font>
      <sz val="12"/>
      <color rgb="FF000000"/>
      <name val="Cambria"/>
      <family val="1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name val="Calibri"/>
      <family val="2"/>
      <scheme val="minor"/>
    </font>
    <font>
      <sz val="11"/>
      <color rgb="FFFF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Helvetica Neue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Helvetica Neue"/>
      <family val="2"/>
    </font>
    <font>
      <b/>
      <sz val="11"/>
      <color theme="1"/>
      <name val="Calibri Light"/>
      <family val="2"/>
      <scheme val="major"/>
    </font>
    <font>
      <b/>
      <sz val="11"/>
      <color theme="1"/>
      <name val="Calibri"/>
      <family val="2"/>
    </font>
    <font>
      <sz val="13"/>
      <color theme="1"/>
      <name val="Calibri"/>
      <family val="2"/>
      <scheme val="minor"/>
    </font>
    <font>
      <sz val="11"/>
      <name val="Book Antiqua"/>
      <family val="1"/>
    </font>
    <font>
      <b/>
      <sz val="11"/>
      <color theme="1"/>
      <name val="Book Antiqua"/>
      <family val="1"/>
    </font>
    <font>
      <sz val="13"/>
      <color theme="1"/>
      <name val="Book Antiqua"/>
      <family val="1"/>
    </font>
    <font>
      <b/>
      <sz val="11"/>
      <name val="Book Antiqua"/>
      <family val="1"/>
    </font>
    <font>
      <sz val="10"/>
      <color theme="1"/>
      <name val="Comic Sans MS"/>
      <family val="4"/>
    </font>
    <font>
      <sz val="12"/>
      <color theme="1"/>
      <name val="Book Antiqua"/>
      <family val="1"/>
    </font>
    <font>
      <sz val="14"/>
      <color theme="1"/>
      <name val="Helvetica Neue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FE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166" fontId="23" fillId="0" borderId="0" applyFont="0" applyFill="0" applyBorder="0" applyAlignment="0" applyProtection="0"/>
    <xf numFmtId="0" fontId="30" fillId="0" borderId="0"/>
  </cellStyleXfs>
  <cellXfs count="73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167" fontId="0" fillId="2" borderId="0" xfId="0" applyNumberFormat="1" applyFill="1" applyAlignment="1">
      <alignment horizontal="left" vertical="center"/>
    </xf>
    <xf numFmtId="167" fontId="0" fillId="4" borderId="0" xfId="0" applyNumberFormat="1" applyFill="1" applyAlignment="1">
      <alignment horizontal="left" vertic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168" fontId="3" fillId="5" borderId="0" xfId="0" applyNumberFormat="1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8" fontId="5" fillId="5" borderId="3" xfId="0" applyNumberFormat="1" applyFont="1" applyFill="1" applyBorder="1" applyAlignment="1">
      <alignment vertical="top" wrapText="1"/>
    </xf>
    <xf numFmtId="0" fontId="0" fillId="5" borderId="2" xfId="0" applyFill="1" applyBorder="1" applyAlignment="1">
      <alignment horizontal="center" vertical="center"/>
    </xf>
    <xf numFmtId="0" fontId="6" fillId="5" borderId="4" xfId="0" applyFont="1" applyFill="1" applyBorder="1" applyAlignment="1">
      <alignment vertical="center"/>
    </xf>
    <xf numFmtId="49" fontId="4" fillId="5" borderId="5" xfId="0" applyNumberFormat="1" applyFont="1" applyFill="1" applyBorder="1" applyAlignment="1">
      <alignment horizontal="center" wrapText="1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168" fontId="3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8" fontId="7" fillId="2" borderId="1" xfId="0" applyNumberFormat="1" applyFont="1" applyFill="1" applyBorder="1" applyAlignment="1">
      <alignment horizontal="center"/>
    </xf>
    <xf numFmtId="168" fontId="5" fillId="2" borderId="3" xfId="0" applyNumberFormat="1" applyFont="1" applyFill="1" applyBorder="1" applyAlignment="1">
      <alignment vertical="top" wrapText="1"/>
    </xf>
    <xf numFmtId="0" fontId="0" fillId="2" borderId="2" xfId="0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49" fontId="4" fillId="2" borderId="5" xfId="0" quotePrefix="1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168" fontId="7" fillId="2" borderId="1" xfId="0" applyNumberFormat="1" applyFont="1" applyFill="1" applyBorder="1"/>
    <xf numFmtId="0" fontId="6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168" fontId="5" fillId="5" borderId="2" xfId="0" applyNumberFormat="1" applyFont="1" applyFill="1" applyBorder="1"/>
    <xf numFmtId="168" fontId="9" fillId="5" borderId="5" xfId="0" applyNumberFormat="1" applyFont="1" applyFill="1" applyBorder="1" applyAlignment="1">
      <alignment vertical="top" wrapText="1"/>
    </xf>
    <xf numFmtId="168" fontId="5" fillId="5" borderId="5" xfId="0" applyNumberFormat="1" applyFont="1" applyFill="1" applyBorder="1" applyAlignment="1">
      <alignment vertical="top" wrapText="1"/>
    </xf>
    <xf numFmtId="168" fontId="5" fillId="2" borderId="2" xfId="0" applyNumberFormat="1" applyFont="1" applyFill="1" applyBorder="1"/>
    <xf numFmtId="168" fontId="5" fillId="2" borderId="1" xfId="0" applyNumberFormat="1" applyFont="1" applyFill="1" applyBorder="1" applyAlignment="1">
      <alignment wrapText="1"/>
    </xf>
    <xf numFmtId="168" fontId="5" fillId="2" borderId="5" xfId="0" applyNumberFormat="1" applyFont="1" applyFill="1" applyBorder="1" applyAlignment="1">
      <alignment wrapText="1"/>
    </xf>
    <xf numFmtId="168" fontId="5" fillId="2" borderId="5" xfId="0" applyNumberFormat="1" applyFont="1" applyFill="1" applyBorder="1" applyAlignment="1">
      <alignment vertical="top" wrapText="1"/>
    </xf>
    <xf numFmtId="168" fontId="5" fillId="2" borderId="5" xfId="0" applyNumberFormat="1" applyFont="1" applyFill="1" applyBorder="1" applyAlignment="1">
      <alignment horizontal="center" vertical="center" wrapText="1"/>
    </xf>
    <xf numFmtId="168" fontId="7" fillId="2" borderId="6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6" borderId="0" xfId="0" applyFill="1"/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69" fontId="7" fillId="6" borderId="0" xfId="0" applyNumberFormat="1" applyFont="1" applyFill="1" applyAlignment="1">
      <alignment horizontal="center"/>
    </xf>
    <xf numFmtId="168" fontId="7" fillId="6" borderId="6" xfId="0" applyNumberFormat="1" applyFont="1" applyFill="1" applyBorder="1" applyAlignment="1">
      <alignment horizontal="center"/>
    </xf>
    <xf numFmtId="168" fontId="7" fillId="6" borderId="1" xfId="0" applyNumberFormat="1" applyFont="1" applyFill="1" applyBorder="1"/>
    <xf numFmtId="168" fontId="5" fillId="6" borderId="3" xfId="0" applyNumberFormat="1" applyFont="1" applyFill="1" applyBorder="1" applyAlignment="1">
      <alignment vertical="top" wrapText="1"/>
    </xf>
    <xf numFmtId="0" fontId="0" fillId="6" borderId="2" xfId="0" applyFill="1" applyBorder="1" applyAlignment="1">
      <alignment horizontal="center" vertical="center"/>
    </xf>
    <xf numFmtId="0" fontId="6" fillId="6" borderId="4" xfId="0" applyFont="1" applyFill="1" applyBorder="1" applyAlignment="1">
      <alignment vertical="center"/>
    </xf>
    <xf numFmtId="49" fontId="4" fillId="6" borderId="5" xfId="0" applyNumberFormat="1" applyFont="1" applyFill="1" applyBorder="1" applyAlignment="1">
      <alignment horizont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168" fontId="7" fillId="6" borderId="3" xfId="0" applyNumberFormat="1" applyFont="1" applyFill="1" applyBorder="1"/>
    <xf numFmtId="49" fontId="4" fillId="6" borderId="5" xfId="0" quotePrefix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0" fillId="0" borderId="1" xfId="0" applyBorder="1"/>
    <xf numFmtId="0" fontId="10" fillId="2" borderId="1" xfId="0" applyFont="1" applyFill="1" applyBorder="1"/>
    <xf numFmtId="168" fontId="7" fillId="2" borderId="7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167" fontId="3" fillId="5" borderId="8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167" fontId="1" fillId="5" borderId="0" xfId="0" applyNumberFormat="1" applyFont="1" applyFill="1" applyAlignment="1">
      <alignment horizontal="center" vertical="center"/>
    </xf>
    <xf numFmtId="167" fontId="3" fillId="5" borderId="9" xfId="0" applyNumberFormat="1" applyFont="1" applyFill="1" applyBorder="1" applyAlignment="1">
      <alignment horizontal="center" vertical="center"/>
    </xf>
    <xf numFmtId="167" fontId="3" fillId="5" borderId="5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/>
    </xf>
    <xf numFmtId="49" fontId="3" fillId="5" borderId="5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167" fontId="3" fillId="2" borderId="8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167" fontId="3" fillId="2" borderId="10" xfId="0" applyNumberFormat="1" applyFont="1" applyFill="1" applyBorder="1" applyAlignment="1">
      <alignment horizontal="center" vertical="center"/>
    </xf>
    <xf numFmtId="167" fontId="3" fillId="2" borderId="5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1" fillId="2" borderId="4" xfId="0" applyFont="1" applyFill="1" applyBorder="1" applyAlignment="1">
      <alignment horizontal="center" vertical="center"/>
    </xf>
    <xf numFmtId="167" fontId="3" fillId="2" borderId="3" xfId="0" applyNumberFormat="1" applyFont="1" applyFill="1" applyBorder="1" applyAlignment="1">
      <alignment horizontal="center" vertical="center"/>
    </xf>
    <xf numFmtId="0" fontId="12" fillId="2" borderId="1" xfId="0" applyFont="1" applyFill="1" applyBorder="1"/>
    <xf numFmtId="0" fontId="13" fillId="2" borderId="1" xfId="0" applyFont="1" applyFill="1" applyBorder="1"/>
    <xf numFmtId="0" fontId="14" fillId="5" borderId="0" xfId="0" applyFont="1" applyFill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167" fontId="14" fillId="5" borderId="8" xfId="0" applyNumberFormat="1" applyFont="1" applyFill="1" applyBorder="1" applyAlignment="1">
      <alignment horizontal="center" vertical="center"/>
    </xf>
    <xf numFmtId="167" fontId="14" fillId="5" borderId="5" xfId="0" applyNumberFormat="1" applyFont="1" applyFill="1" applyBorder="1" applyAlignment="1">
      <alignment horizontal="center" vertical="center"/>
    </xf>
    <xf numFmtId="167" fontId="14" fillId="5" borderId="4" xfId="0" applyNumberFormat="1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49" fontId="4" fillId="5" borderId="13" xfId="0" applyNumberFormat="1" applyFont="1" applyFill="1" applyBorder="1" applyAlignment="1">
      <alignment horizontal="center"/>
    </xf>
    <xf numFmtId="49" fontId="14" fillId="5" borderId="5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67" fontId="14" fillId="2" borderId="8" xfId="0" applyNumberFormat="1" applyFont="1" applyFill="1" applyBorder="1" applyAlignment="1">
      <alignment horizontal="center" vertical="center"/>
    </xf>
    <xf numFmtId="167" fontId="14" fillId="2" borderId="12" xfId="0" applyNumberFormat="1" applyFont="1" applyFill="1" applyBorder="1" applyAlignment="1">
      <alignment horizontal="center" vertical="center"/>
    </xf>
    <xf numFmtId="167" fontId="14" fillId="2" borderId="5" xfId="0" applyNumberFormat="1" applyFont="1" applyFill="1" applyBorder="1" applyAlignment="1">
      <alignment horizontal="center" vertical="center"/>
    </xf>
    <xf numFmtId="167" fontId="14" fillId="2" borderId="4" xfId="0" applyNumberFormat="1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/>
    </xf>
    <xf numFmtId="49" fontId="14" fillId="2" borderId="5" xfId="0" applyNumberFormat="1" applyFont="1" applyFill="1" applyBorder="1" applyAlignment="1">
      <alignment horizontal="center" vertical="center"/>
    </xf>
    <xf numFmtId="169" fontId="7" fillId="2" borderId="14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center"/>
    </xf>
    <xf numFmtId="167" fontId="14" fillId="6" borderId="5" xfId="0" applyNumberFormat="1" applyFont="1" applyFill="1" applyBorder="1" applyAlignment="1">
      <alignment horizontal="center" vertical="center"/>
    </xf>
    <xf numFmtId="167" fontId="14" fillId="6" borderId="4" xfId="0" applyNumberFormat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169" fontId="7" fillId="2" borderId="15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vertical="center"/>
    </xf>
    <xf numFmtId="169" fontId="7" fillId="5" borderId="0" xfId="0" applyNumberFormat="1" applyFont="1" applyFill="1" applyAlignment="1">
      <alignment horizontal="center"/>
    </xf>
    <xf numFmtId="167" fontId="3" fillId="5" borderId="4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7" fontId="3" fillId="2" borderId="4" xfId="0" applyNumberFormat="1" applyFont="1" applyFill="1" applyBorder="1" applyAlignment="1">
      <alignment horizontal="center" vertical="center"/>
    </xf>
    <xf numFmtId="167" fontId="3" fillId="4" borderId="4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15" fillId="5" borderId="5" xfId="0" applyFont="1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168" fontId="3" fillId="7" borderId="0" xfId="0" applyNumberFormat="1" applyFont="1" applyFill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167" fontId="3" fillId="7" borderId="5" xfId="0" applyNumberFormat="1" applyFont="1" applyFill="1" applyBorder="1" applyAlignment="1">
      <alignment horizontal="center" vertical="center"/>
    </xf>
    <xf numFmtId="167" fontId="3" fillId="7" borderId="4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7" fontId="3" fillId="4" borderId="8" xfId="0" applyNumberFormat="1" applyFont="1" applyFill="1" applyBorder="1" applyAlignment="1">
      <alignment horizontal="center" vertical="center"/>
    </xf>
    <xf numFmtId="169" fontId="7" fillId="4" borderId="15" xfId="0" applyNumberFormat="1" applyFont="1" applyFill="1" applyBorder="1" applyAlignment="1">
      <alignment horizontal="center"/>
    </xf>
    <xf numFmtId="167" fontId="3" fillId="4" borderId="5" xfId="0" applyNumberFormat="1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left" vertical="center"/>
    </xf>
    <xf numFmtId="49" fontId="3" fillId="4" borderId="5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9" fontId="7" fillId="5" borderId="15" xfId="0" applyNumberFormat="1" applyFont="1" applyFill="1" applyBorder="1" applyAlignment="1">
      <alignment horizontal="center"/>
    </xf>
    <xf numFmtId="49" fontId="0" fillId="2" borderId="5" xfId="0" applyNumberForma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167" fontId="3" fillId="8" borderId="19" xfId="0" applyNumberFormat="1" applyFont="1" applyFill="1" applyBorder="1" applyAlignment="1">
      <alignment horizontal="center" vertical="center"/>
    </xf>
    <xf numFmtId="167" fontId="3" fillId="8" borderId="18" xfId="0" applyNumberFormat="1" applyFont="1" applyFill="1" applyBorder="1" applyAlignment="1">
      <alignment horizontal="center" vertical="center"/>
    </xf>
    <xf numFmtId="167" fontId="3" fillId="8" borderId="20" xfId="0" applyNumberFormat="1" applyFont="1" applyFill="1" applyBorder="1" applyAlignment="1">
      <alignment horizontal="center" vertical="center"/>
    </xf>
    <xf numFmtId="49" fontId="14" fillId="8" borderId="18" xfId="0" applyNumberFormat="1" applyFont="1" applyFill="1" applyBorder="1" applyAlignment="1">
      <alignment horizontal="center" vertical="center"/>
    </xf>
    <xf numFmtId="49" fontId="3" fillId="8" borderId="18" xfId="0" applyNumberFormat="1" applyFont="1" applyFill="1" applyBorder="1" applyAlignment="1">
      <alignment horizontal="center" vertical="center"/>
    </xf>
    <xf numFmtId="0" fontId="0" fillId="9" borderId="0" xfId="0" applyFill="1"/>
    <xf numFmtId="0" fontId="0" fillId="2" borderId="1" xfId="0" applyFill="1" applyBorder="1"/>
    <xf numFmtId="0" fontId="0" fillId="5" borderId="1" xfId="0" applyFill="1" applyBorder="1"/>
    <xf numFmtId="0" fontId="14" fillId="2" borderId="12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67" fontId="3" fillId="2" borderId="9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7" fontId="3" fillId="5" borderId="13" xfId="0" applyNumberFormat="1" applyFont="1" applyFill="1" applyBorder="1" applyAlignment="1">
      <alignment horizontal="center" vertical="center"/>
    </xf>
    <xf numFmtId="167" fontId="3" fillId="2" borderId="13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67" fontId="3" fillId="2" borderId="18" xfId="0" applyNumberFormat="1" applyFont="1" applyFill="1" applyBorder="1" applyAlignment="1">
      <alignment horizontal="center" vertical="center"/>
    </xf>
    <xf numFmtId="168" fontId="0" fillId="3" borderId="0" xfId="0" applyNumberFormat="1" applyFill="1"/>
    <xf numFmtId="167" fontId="0" fillId="11" borderId="0" xfId="0" applyNumberFormat="1" applyFill="1"/>
    <xf numFmtId="167" fontId="0" fillId="2" borderId="0" xfId="0" applyNumberFormat="1" applyFill="1"/>
    <xf numFmtId="167" fontId="0" fillId="4" borderId="0" xfId="0" applyNumberFormat="1" applyFill="1"/>
    <xf numFmtId="0" fontId="4" fillId="2" borderId="0" xfId="0" applyFont="1" applyFill="1" applyAlignment="1">
      <alignment horizontal="center" vertical="center"/>
    </xf>
    <xf numFmtId="168" fontId="3" fillId="3" borderId="0" xfId="0" applyNumberFormat="1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67" fontId="1" fillId="2" borderId="5" xfId="0" applyNumberFormat="1" applyFont="1" applyFill="1" applyBorder="1" applyAlignment="1">
      <alignment horizontal="center" vertical="center"/>
    </xf>
    <xf numFmtId="0" fontId="18" fillId="2" borderId="1" xfId="0" applyFont="1" applyFill="1" applyBorder="1"/>
    <xf numFmtId="168" fontId="3" fillId="6" borderId="0" xfId="0" applyNumberFormat="1" applyFont="1" applyFill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167" fontId="3" fillId="5" borderId="11" xfId="0" applyNumberFormat="1" applyFont="1" applyFill="1" applyBorder="1" applyAlignment="1">
      <alignment horizontal="center" vertical="center"/>
    </xf>
    <xf numFmtId="169" fontId="7" fillId="5" borderId="15" xfId="0" applyNumberFormat="1" applyFont="1" applyFill="1" applyBorder="1"/>
    <xf numFmtId="167" fontId="1" fillId="5" borderId="5" xfId="0" applyNumberFormat="1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164" fontId="7" fillId="11" borderId="15" xfId="0" applyNumberFormat="1" applyFont="1" applyFill="1" applyBorder="1"/>
    <xf numFmtId="0" fontId="6" fillId="2" borderId="0" xfId="0" applyFont="1" applyFill="1"/>
    <xf numFmtId="0" fontId="16" fillId="0" borderId="0" xfId="0" applyFont="1" applyAlignment="1">
      <alignment horizontal="center"/>
    </xf>
    <xf numFmtId="164" fontId="7" fillId="11" borderId="15" xfId="0" applyNumberFormat="1" applyFont="1" applyFill="1" applyBorder="1" applyAlignment="1">
      <alignment horizontal="center"/>
    </xf>
    <xf numFmtId="164" fontId="7" fillId="11" borderId="16" xfId="0" applyNumberFormat="1" applyFont="1" applyFill="1" applyBorder="1" applyAlignment="1">
      <alignment horizontal="center"/>
    </xf>
    <xf numFmtId="164" fontId="7" fillId="11" borderId="14" xfId="0" applyNumberFormat="1" applyFont="1" applyFill="1" applyBorder="1"/>
    <xf numFmtId="167" fontId="3" fillId="4" borderId="1" xfId="0" applyNumberFormat="1" applyFont="1" applyFill="1" applyBorder="1" applyAlignment="1">
      <alignment horizontal="center" vertical="center"/>
    </xf>
    <xf numFmtId="167" fontId="1" fillId="5" borderId="1" xfId="0" applyNumberFormat="1" applyFont="1" applyFill="1" applyBorder="1" applyAlignment="1">
      <alignment horizontal="center" vertical="center"/>
    </xf>
    <xf numFmtId="167" fontId="3" fillId="7" borderId="1" xfId="0" applyNumberFormat="1" applyFont="1" applyFill="1" applyBorder="1" applyAlignment="1">
      <alignment horizontal="center" vertical="center"/>
    </xf>
    <xf numFmtId="167" fontId="3" fillId="11" borderId="1" xfId="0" applyNumberFormat="1" applyFont="1" applyFill="1" applyBorder="1" applyAlignment="1">
      <alignment horizontal="center" vertical="center"/>
    </xf>
    <xf numFmtId="167" fontId="3" fillId="2" borderId="24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167" fontId="3" fillId="2" borderId="21" xfId="0" applyNumberFormat="1" applyFont="1" applyFill="1" applyBorder="1" applyAlignment="1">
      <alignment horizontal="center" vertical="center"/>
    </xf>
    <xf numFmtId="167" fontId="3" fillId="2" borderId="12" xfId="0" applyNumberFormat="1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167" fontId="3" fillId="5" borderId="24" xfId="0" applyNumberFormat="1" applyFont="1" applyFill="1" applyBorder="1" applyAlignment="1">
      <alignment horizontal="center" vertical="center"/>
    </xf>
    <xf numFmtId="169" fontId="7" fillId="5" borderId="12" xfId="0" applyNumberFormat="1" applyFont="1" applyFill="1" applyBorder="1"/>
    <xf numFmtId="167" fontId="3" fillId="5" borderId="21" xfId="0" applyNumberFormat="1" applyFont="1" applyFill="1" applyBorder="1" applyAlignment="1">
      <alignment horizontal="center" vertical="center"/>
    </xf>
    <xf numFmtId="167" fontId="3" fillId="5" borderId="12" xfId="0" applyNumberFormat="1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49" fontId="3" fillId="5" borderId="21" xfId="0" applyNumberFormat="1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169" fontId="7" fillId="11" borderId="12" xfId="0" applyNumberFormat="1" applyFont="1" applyFill="1" applyBorder="1"/>
    <xf numFmtId="167" fontId="3" fillId="2" borderId="25" xfId="0" applyNumberFormat="1" applyFont="1" applyFill="1" applyBorder="1" applyAlignment="1">
      <alignment horizontal="center" vertical="center"/>
    </xf>
    <xf numFmtId="168" fontId="8" fillId="2" borderId="1" xfId="0" applyNumberFormat="1" applyFont="1" applyFill="1" applyBorder="1"/>
    <xf numFmtId="49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wrapText="1"/>
    </xf>
    <xf numFmtId="49" fontId="19" fillId="2" borderId="1" xfId="0" quotePrefix="1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1" fillId="0" borderId="0" xfId="0" applyFont="1" applyAlignment="1">
      <alignment horizontal="left"/>
    </xf>
    <xf numFmtId="41" fontId="20" fillId="0" borderId="1" xfId="0" applyNumberFormat="1" applyFont="1" applyBorder="1" applyAlignment="1">
      <alignment horizontal="center" vertical="center"/>
    </xf>
    <xf numFmtId="41" fontId="0" fillId="0" borderId="1" xfId="0" applyNumberFormat="1" applyBorder="1"/>
    <xf numFmtId="0" fontId="20" fillId="12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69" fontId="7" fillId="2" borderId="0" xfId="0" applyNumberFormat="1" applyFont="1" applyFill="1" applyAlignment="1">
      <alignment horizontal="center"/>
    </xf>
    <xf numFmtId="0" fontId="14" fillId="2" borderId="9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/>
    </xf>
    <xf numFmtId="49" fontId="0" fillId="2" borderId="12" xfId="0" applyNumberForma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169" fontId="7" fillId="2" borderId="1" xfId="0" applyNumberFormat="1" applyFont="1" applyFill="1" applyBorder="1" applyAlignment="1">
      <alignment horizontal="center"/>
    </xf>
    <xf numFmtId="169" fontId="7" fillId="2" borderId="3" xfId="0" applyNumberFormat="1" applyFont="1" applyFill="1" applyBorder="1" applyAlignment="1">
      <alignment horizontal="center"/>
    </xf>
    <xf numFmtId="164" fontId="7" fillId="2" borderId="26" xfId="0" applyNumberFormat="1" applyFont="1" applyFill="1" applyBorder="1" applyAlignment="1">
      <alignment horizontal="center"/>
    </xf>
    <xf numFmtId="164" fontId="7" fillId="2" borderId="23" xfId="0" applyNumberFormat="1" applyFont="1" applyFill="1" applyBorder="1" applyAlignment="1">
      <alignment horizontal="center"/>
    </xf>
    <xf numFmtId="164" fontId="16" fillId="2" borderId="23" xfId="0" applyNumberFormat="1" applyFont="1" applyFill="1" applyBorder="1" applyAlignment="1">
      <alignment horizontal="center"/>
    </xf>
    <xf numFmtId="164" fontId="7" fillId="2" borderId="27" xfId="0" applyNumberFormat="1" applyFont="1" applyFill="1" applyBorder="1" applyAlignment="1">
      <alignment horizontal="center"/>
    </xf>
    <xf numFmtId="164" fontId="16" fillId="2" borderId="26" xfId="0" applyNumberFormat="1" applyFont="1" applyFill="1" applyBorder="1" applyAlignment="1">
      <alignment horizontal="center"/>
    </xf>
    <xf numFmtId="167" fontId="1" fillId="5" borderId="10" xfId="0" applyNumberFormat="1" applyFont="1" applyFill="1" applyBorder="1" applyAlignment="1">
      <alignment horizontal="center" vertical="center"/>
    </xf>
    <xf numFmtId="168" fontId="9" fillId="5" borderId="22" xfId="0" applyNumberFormat="1" applyFont="1" applyFill="1" applyBorder="1" applyAlignment="1">
      <alignment vertical="top" wrapText="1"/>
    </xf>
    <xf numFmtId="167" fontId="3" fillId="2" borderId="2" xfId="0" applyNumberFormat="1" applyFont="1" applyFill="1" applyBorder="1" applyAlignment="1">
      <alignment horizontal="center" vertical="center"/>
    </xf>
    <xf numFmtId="168" fontId="9" fillId="5" borderId="1" xfId="0" applyNumberFormat="1" applyFont="1" applyFill="1" applyBorder="1" applyAlignment="1">
      <alignment vertical="top" wrapText="1"/>
    </xf>
    <xf numFmtId="0" fontId="3" fillId="9" borderId="4" xfId="0" applyFont="1" applyFill="1" applyBorder="1" applyAlignment="1">
      <alignment horizontal="center" vertical="center"/>
    </xf>
    <xf numFmtId="167" fontId="3" fillId="10" borderId="1" xfId="0" applyNumberFormat="1" applyFont="1" applyFill="1" applyBorder="1" applyAlignment="1">
      <alignment horizontal="center" vertical="center"/>
    </xf>
    <xf numFmtId="167" fontId="1" fillId="10" borderId="1" xfId="0" applyNumberFormat="1" applyFont="1" applyFill="1" applyBorder="1" applyAlignment="1">
      <alignment horizontal="center" vertical="center"/>
    </xf>
    <xf numFmtId="164" fontId="7" fillId="10" borderId="14" xfId="0" applyNumberFormat="1" applyFont="1" applyFill="1" applyBorder="1"/>
    <xf numFmtId="164" fontId="7" fillId="10" borderId="15" xfId="0" applyNumberFormat="1" applyFont="1" applyFill="1" applyBorder="1"/>
    <xf numFmtId="164" fontId="7" fillId="10" borderId="16" xfId="0" applyNumberFormat="1" applyFont="1" applyFill="1" applyBorder="1" applyAlignment="1">
      <alignment horizontal="center"/>
    </xf>
    <xf numFmtId="164" fontId="7" fillId="10" borderId="15" xfId="0" applyNumberFormat="1" applyFont="1" applyFill="1" applyBorder="1" applyAlignment="1">
      <alignment horizontal="center"/>
    </xf>
    <xf numFmtId="167" fontId="0" fillId="10" borderId="0" xfId="0" applyNumberFormat="1" applyFill="1"/>
    <xf numFmtId="169" fontId="7" fillId="4" borderId="0" xfId="0" applyNumberFormat="1" applyFont="1" applyFill="1"/>
    <xf numFmtId="169" fontId="7" fillId="2" borderId="12" xfId="0" applyNumberFormat="1" applyFont="1" applyFill="1" applyBorder="1"/>
    <xf numFmtId="164" fontId="7" fillId="2" borderId="15" xfId="0" applyNumberFormat="1" applyFont="1" applyFill="1" applyBorder="1" applyAlignment="1">
      <alignment horizontal="center"/>
    </xf>
    <xf numFmtId="164" fontId="7" fillId="2" borderId="15" xfId="0" applyNumberFormat="1" applyFont="1" applyFill="1" applyBorder="1"/>
    <xf numFmtId="167" fontId="1" fillId="7" borderId="1" xfId="0" applyNumberFormat="1" applyFont="1" applyFill="1" applyBorder="1" applyAlignment="1">
      <alignment horizontal="center" vertical="center"/>
    </xf>
    <xf numFmtId="168" fontId="0" fillId="7" borderId="1" xfId="1" applyNumberFormat="1" applyFont="1" applyFill="1" applyBorder="1"/>
    <xf numFmtId="0" fontId="4" fillId="0" borderId="1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42" fontId="4" fillId="7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vertical="center" wrapText="1"/>
    </xf>
    <xf numFmtId="0" fontId="25" fillId="2" borderId="1" xfId="0" applyFont="1" applyFill="1" applyBorder="1" applyAlignment="1">
      <alignment vertical="center"/>
    </xf>
    <xf numFmtId="166" fontId="3" fillId="2" borderId="0" xfId="0" applyNumberFormat="1" applyFont="1" applyFill="1" applyAlignment="1">
      <alignment horizontal="center" vertical="center"/>
    </xf>
    <xf numFmtId="0" fontId="12" fillId="2" borderId="12" xfId="0" applyFont="1" applyFill="1" applyBorder="1"/>
    <xf numFmtId="0" fontId="19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12" fillId="0" borderId="1" xfId="0" applyFont="1" applyBorder="1"/>
    <xf numFmtId="0" fontId="12" fillId="2" borderId="15" xfId="0" applyFont="1" applyFill="1" applyBorder="1"/>
    <xf numFmtId="0" fontId="12" fillId="2" borderId="16" xfId="0" applyFont="1" applyFill="1" applyBorder="1"/>
    <xf numFmtId="0" fontId="12" fillId="0" borderId="5" xfId="0" applyFont="1" applyBorder="1" applyAlignment="1">
      <alignment horizontal="left" vertical="center"/>
    </xf>
    <xf numFmtId="168" fontId="7" fillId="6" borderId="1" xfId="0" applyNumberFormat="1" applyFont="1" applyFill="1" applyBorder="1" applyAlignment="1">
      <alignment horizontal="center"/>
    </xf>
    <xf numFmtId="164" fontId="3" fillId="5" borderId="0" xfId="0" applyNumberFormat="1" applyFont="1" applyFill="1" applyAlignment="1">
      <alignment horizontal="center" vertical="center"/>
    </xf>
    <xf numFmtId="169" fontId="6" fillId="5" borderId="9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left" vertical="center"/>
    </xf>
    <xf numFmtId="167" fontId="3" fillId="5" borderId="1" xfId="0" applyNumberFormat="1" applyFont="1" applyFill="1" applyBorder="1" applyAlignment="1">
      <alignment horizontal="center" vertical="center"/>
    </xf>
    <xf numFmtId="169" fontId="7" fillId="5" borderId="1" xfId="0" applyNumberFormat="1" applyFont="1" applyFill="1" applyBorder="1" applyAlignment="1">
      <alignment horizontal="center"/>
    </xf>
    <xf numFmtId="169" fontId="7" fillId="5" borderId="3" xfId="0" applyNumberFormat="1" applyFont="1" applyFill="1" applyBorder="1" applyAlignment="1">
      <alignment horizontal="center"/>
    </xf>
    <xf numFmtId="167" fontId="3" fillId="5" borderId="2" xfId="0" applyNumberFormat="1" applyFont="1" applyFill="1" applyBorder="1" applyAlignment="1">
      <alignment horizontal="center" vertical="center"/>
    </xf>
    <xf numFmtId="169" fontId="7" fillId="5" borderId="16" xfId="0" applyNumberFormat="1" applyFont="1" applyFill="1" applyBorder="1" applyAlignment="1">
      <alignment horizontal="center"/>
    </xf>
    <xf numFmtId="167" fontId="1" fillId="5" borderId="12" xfId="0" applyNumberFormat="1" applyFont="1" applyFill="1" applyBorder="1" applyAlignment="1">
      <alignment horizontal="center" vertical="center"/>
    </xf>
    <xf numFmtId="169" fontId="17" fillId="2" borderId="3" xfId="0" applyNumberFormat="1" applyFont="1" applyFill="1" applyBorder="1" applyAlignment="1">
      <alignment horizontal="center" vertical="center"/>
    </xf>
    <xf numFmtId="0" fontId="27" fillId="0" borderId="28" xfId="0" applyFont="1" applyBorder="1" applyAlignment="1">
      <alignment horizontal="left" vertical="center" wrapText="1"/>
    </xf>
    <xf numFmtId="167" fontId="3" fillId="2" borderId="20" xfId="0" applyNumberFormat="1" applyFont="1" applyFill="1" applyBorder="1" applyAlignment="1">
      <alignment horizontal="center" vertical="center"/>
    </xf>
    <xf numFmtId="164" fontId="7" fillId="2" borderId="27" xfId="0" applyNumberFormat="1" applyFont="1" applyFill="1" applyBorder="1"/>
    <xf numFmtId="167" fontId="14" fillId="2" borderId="0" xfId="0" applyNumberFormat="1" applyFont="1" applyFill="1" applyAlignment="1">
      <alignment horizontal="center" vertical="center"/>
    </xf>
    <xf numFmtId="168" fontId="5" fillId="2" borderId="22" xfId="0" applyNumberFormat="1" applyFont="1" applyFill="1" applyBorder="1" applyAlignment="1">
      <alignment wrapText="1"/>
    </xf>
    <xf numFmtId="0" fontId="28" fillId="0" borderId="0" xfId="0" applyFont="1" applyAlignment="1">
      <alignment horizontal="center"/>
    </xf>
    <xf numFmtId="0" fontId="15" fillId="2" borderId="1" xfId="0" quotePrefix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169" fontId="7" fillId="6" borderId="15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6" fillId="0" borderId="1" xfId="0" applyFont="1" applyBorder="1" applyAlignment="1">
      <alignment vertical="center"/>
    </xf>
    <xf numFmtId="0" fontId="12" fillId="2" borderId="1" xfId="0" applyFont="1" applyFill="1" applyBorder="1" applyAlignment="1">
      <alignment horizontal="left" vertical="center"/>
    </xf>
    <xf numFmtId="167" fontId="3" fillId="14" borderId="19" xfId="0" applyNumberFormat="1" applyFont="1" applyFill="1" applyBorder="1" applyAlignment="1">
      <alignment horizontal="center" vertical="center"/>
    </xf>
    <xf numFmtId="169" fontId="32" fillId="14" borderId="0" xfId="0" applyNumberFormat="1" applyFont="1" applyFill="1"/>
    <xf numFmtId="0" fontId="20" fillId="15" borderId="1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left" vertical="center"/>
    </xf>
    <xf numFmtId="49" fontId="3" fillId="5" borderId="13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/>
    </xf>
    <xf numFmtId="0" fontId="15" fillId="2" borderId="5" xfId="0" applyFont="1" applyFill="1" applyBorder="1" applyAlignment="1">
      <alignment horizontal="left" vertical="center"/>
    </xf>
    <xf numFmtId="169" fontId="32" fillId="2" borderId="9" xfId="0" applyNumberFormat="1" applyFont="1" applyFill="1" applyBorder="1" applyAlignment="1">
      <alignment horizontal="center"/>
    </xf>
    <xf numFmtId="169" fontId="32" fillId="5" borderId="9" xfId="0" applyNumberFormat="1" applyFont="1" applyFill="1" applyBorder="1" applyAlignment="1">
      <alignment horizontal="center"/>
    </xf>
    <xf numFmtId="169" fontId="6" fillId="7" borderId="11" xfId="0" applyNumberFormat="1" applyFont="1" applyFill="1" applyBorder="1" applyAlignment="1">
      <alignment horizontal="center"/>
    </xf>
    <xf numFmtId="169" fontId="6" fillId="5" borderId="11" xfId="0" applyNumberFormat="1" applyFont="1" applyFill="1" applyBorder="1" applyAlignment="1">
      <alignment horizontal="center"/>
    </xf>
    <xf numFmtId="169" fontId="15" fillId="7" borderId="8" xfId="0" applyNumberFormat="1" applyFont="1" applyFill="1" applyBorder="1" applyAlignment="1">
      <alignment horizontal="center" vertical="center"/>
    </xf>
    <xf numFmtId="169" fontId="32" fillId="14" borderId="11" xfId="0" applyNumberFormat="1" applyFont="1" applyFill="1" applyBorder="1" applyAlignment="1">
      <alignment horizontal="center"/>
    </xf>
    <xf numFmtId="166" fontId="4" fillId="7" borderId="2" xfId="0" quotePrefix="1" applyNumberFormat="1" applyFont="1" applyFill="1" applyBorder="1" applyAlignment="1">
      <alignment horizontal="center" vertical="center"/>
    </xf>
    <xf numFmtId="169" fontId="6" fillId="7" borderId="2" xfId="0" applyNumberFormat="1" applyFont="1" applyFill="1" applyBorder="1" applyAlignment="1">
      <alignment horizontal="center"/>
    </xf>
    <xf numFmtId="169" fontId="32" fillId="14" borderId="2" xfId="0" applyNumberFormat="1" applyFont="1" applyFill="1" applyBorder="1" applyAlignment="1">
      <alignment horizontal="center"/>
    </xf>
    <xf numFmtId="167" fontId="14" fillId="7" borderId="11" xfId="0" applyNumberFormat="1" applyFont="1" applyFill="1" applyBorder="1" applyAlignment="1">
      <alignment horizontal="center" vertical="center"/>
    </xf>
    <xf numFmtId="167" fontId="3" fillId="14" borderId="11" xfId="0" applyNumberFormat="1" applyFont="1" applyFill="1" applyBorder="1" applyAlignment="1">
      <alignment horizontal="center" vertical="center"/>
    </xf>
    <xf numFmtId="167" fontId="3" fillId="7" borderId="8" xfId="0" applyNumberFormat="1" applyFont="1" applyFill="1" applyBorder="1" applyAlignment="1">
      <alignment horizontal="center" vertical="center"/>
    </xf>
    <xf numFmtId="167" fontId="3" fillId="14" borderId="8" xfId="0" applyNumberFormat="1" applyFont="1" applyFill="1" applyBorder="1" applyAlignment="1">
      <alignment horizontal="center" vertical="center"/>
    </xf>
    <xf numFmtId="168" fontId="5" fillId="7" borderId="2" xfId="0" applyNumberFormat="1" applyFont="1" applyFill="1" applyBorder="1" applyAlignment="1">
      <alignment wrapText="1"/>
    </xf>
    <xf numFmtId="168" fontId="33" fillId="14" borderId="2" xfId="0" applyNumberFormat="1" applyFont="1" applyFill="1" applyBorder="1" applyAlignment="1">
      <alignment vertical="top" wrapText="1"/>
    </xf>
    <xf numFmtId="167" fontId="0" fillId="7" borderId="0" xfId="0" applyNumberFormat="1" applyFill="1" applyAlignment="1">
      <alignment horizontal="left" vertical="center"/>
    </xf>
    <xf numFmtId="169" fontId="6" fillId="2" borderId="9" xfId="0" applyNumberFormat="1" applyFont="1" applyFill="1" applyBorder="1" applyAlignment="1">
      <alignment horizontal="center"/>
    </xf>
    <xf numFmtId="169" fontId="15" fillId="2" borderId="4" xfId="0" applyNumberFormat="1" applyFont="1" applyFill="1" applyBorder="1" applyAlignment="1">
      <alignment horizontal="center" vertical="center"/>
    </xf>
    <xf numFmtId="166" fontId="4" fillId="2" borderId="1" xfId="0" quotePrefix="1" applyNumberFormat="1" applyFont="1" applyFill="1" applyBorder="1" applyAlignment="1">
      <alignment horizontal="center" vertical="center"/>
    </xf>
    <xf numFmtId="169" fontId="6" fillId="2" borderId="1" xfId="0" applyNumberFormat="1" applyFont="1" applyFill="1" applyBorder="1" applyAlignment="1">
      <alignment horizontal="center"/>
    </xf>
    <xf numFmtId="167" fontId="0" fillId="2" borderId="9" xfId="0" applyNumberFormat="1" applyFill="1" applyBorder="1" applyAlignment="1">
      <alignment horizontal="left" vertical="center"/>
    </xf>
    <xf numFmtId="49" fontId="3" fillId="5" borderId="0" xfId="0" applyNumberFormat="1" applyFont="1" applyFill="1" applyAlignment="1">
      <alignment horizontal="center" vertical="center"/>
    </xf>
    <xf numFmtId="169" fontId="7" fillId="2" borderId="24" xfId="0" applyNumberFormat="1" applyFont="1" applyFill="1" applyBorder="1"/>
    <xf numFmtId="169" fontId="32" fillId="2" borderId="24" xfId="0" applyNumberFormat="1" applyFont="1" applyFill="1" applyBorder="1"/>
    <xf numFmtId="169" fontId="7" fillId="5" borderId="24" xfId="0" applyNumberFormat="1" applyFont="1" applyFill="1" applyBorder="1"/>
    <xf numFmtId="169" fontId="32" fillId="5" borderId="24" xfId="0" applyNumberFormat="1" applyFont="1" applyFill="1" applyBorder="1"/>
    <xf numFmtId="0" fontId="31" fillId="5" borderId="0" xfId="0" applyFont="1" applyFill="1" applyAlignment="1">
      <alignment horizontal="center"/>
    </xf>
    <xf numFmtId="168" fontId="0" fillId="5" borderId="1" xfId="1" applyNumberFormat="1" applyFont="1" applyFill="1" applyBorder="1"/>
    <xf numFmtId="0" fontId="3" fillId="5" borderId="9" xfId="0" applyFont="1" applyFill="1" applyBorder="1" applyAlignment="1">
      <alignment horizontal="center" vertical="center"/>
    </xf>
    <xf numFmtId="168" fontId="0" fillId="2" borderId="1" xfId="1" applyNumberFormat="1" applyFont="1" applyFill="1" applyBorder="1"/>
    <xf numFmtId="42" fontId="4" fillId="2" borderId="1" xfId="0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/>
    <xf numFmtId="167" fontId="3" fillId="4" borderId="12" xfId="0" applyNumberFormat="1" applyFont="1" applyFill="1" applyBorder="1" applyAlignment="1">
      <alignment horizontal="center" vertical="center"/>
    </xf>
    <xf numFmtId="167" fontId="3" fillId="11" borderId="12" xfId="0" applyNumberFormat="1" applyFont="1" applyFill="1" applyBorder="1" applyAlignment="1">
      <alignment horizontal="center" vertical="center"/>
    </xf>
    <xf numFmtId="167" fontId="3" fillId="10" borderId="12" xfId="0" applyNumberFormat="1" applyFont="1" applyFill="1" applyBorder="1" applyAlignment="1">
      <alignment horizontal="center" vertical="center"/>
    </xf>
    <xf numFmtId="168" fontId="0" fillId="2" borderId="12" xfId="1" applyNumberFormat="1" applyFont="1" applyFill="1" applyBorder="1"/>
    <xf numFmtId="0" fontId="3" fillId="9" borderId="9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49" fontId="0" fillId="16" borderId="1" xfId="0" applyNumberFormat="1" applyFill="1" applyBorder="1" applyAlignment="1">
      <alignment horizontal="center" vertical="center"/>
    </xf>
    <xf numFmtId="169" fontId="7" fillId="16" borderId="0" xfId="0" applyNumberFormat="1" applyFont="1" applyFill="1" applyAlignment="1">
      <alignment horizontal="center"/>
    </xf>
    <xf numFmtId="0" fontId="3" fillId="16" borderId="0" xfId="0" applyFont="1" applyFill="1" applyAlignment="1">
      <alignment horizontal="center" vertical="center"/>
    </xf>
    <xf numFmtId="0" fontId="25" fillId="0" borderId="12" xfId="0" applyFont="1" applyBorder="1" applyAlignment="1">
      <alignment vertical="center"/>
    </xf>
    <xf numFmtId="0" fontId="25" fillId="0" borderId="9" xfId="0" applyFont="1" applyBorder="1" applyAlignment="1">
      <alignment vertical="center" wrapText="1"/>
    </xf>
    <xf numFmtId="0" fontId="34" fillId="0" borderId="1" xfId="0" applyFont="1" applyBorder="1" applyAlignment="1">
      <alignment vertical="center"/>
    </xf>
    <xf numFmtId="170" fontId="34" fillId="0" borderId="1" xfId="0" applyNumberFormat="1" applyFont="1" applyBorder="1" applyAlignment="1">
      <alignment vertical="center"/>
    </xf>
    <xf numFmtId="164" fontId="4" fillId="2" borderId="1" xfId="0" quotePrefix="1" applyNumberFormat="1" applyFont="1" applyFill="1" applyBorder="1" applyAlignment="1">
      <alignment horizontal="center" vertical="center"/>
    </xf>
    <xf numFmtId="167" fontId="3" fillId="13" borderId="1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15" fillId="2" borderId="1" xfId="0" applyFont="1" applyFill="1" applyBorder="1"/>
    <xf numFmtId="164" fontId="6" fillId="2" borderId="1" xfId="0" applyNumberFormat="1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9" fontId="6" fillId="7" borderId="1" xfId="0" applyNumberFormat="1" applyFont="1" applyFill="1" applyBorder="1" applyAlignment="1">
      <alignment horizontal="center"/>
    </xf>
    <xf numFmtId="167" fontId="14" fillId="2" borderId="1" xfId="0" applyNumberFormat="1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49" fontId="0" fillId="15" borderId="1" xfId="0" applyNumberFormat="1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/>
    </xf>
    <xf numFmtId="0" fontId="8" fillId="15" borderId="5" xfId="0" applyFont="1" applyFill="1" applyBorder="1" applyAlignment="1">
      <alignment horizontal="left" vertical="center"/>
    </xf>
    <xf numFmtId="0" fontId="14" fillId="15" borderId="8" xfId="0" applyFont="1" applyFill="1" applyBorder="1" applyAlignment="1">
      <alignment horizontal="center" vertical="center"/>
    </xf>
    <xf numFmtId="167" fontId="14" fillId="15" borderId="5" xfId="0" applyNumberFormat="1" applyFont="1" applyFill="1" applyBorder="1" applyAlignment="1">
      <alignment horizontal="center" vertical="center"/>
    </xf>
    <xf numFmtId="167" fontId="14" fillId="15" borderId="4" xfId="0" applyNumberFormat="1" applyFont="1" applyFill="1" applyBorder="1" applyAlignment="1">
      <alignment horizontal="center" vertical="center"/>
    </xf>
    <xf numFmtId="169" fontId="7" fillId="15" borderId="14" xfId="0" applyNumberFormat="1" applyFont="1" applyFill="1" applyBorder="1" applyAlignment="1">
      <alignment horizontal="center"/>
    </xf>
    <xf numFmtId="169" fontId="7" fillId="15" borderId="0" xfId="0" applyNumberFormat="1" applyFont="1" applyFill="1" applyAlignment="1">
      <alignment horizontal="center"/>
    </xf>
    <xf numFmtId="169" fontId="6" fillId="15" borderId="1" xfId="0" applyNumberFormat="1" applyFont="1" applyFill="1" applyBorder="1" applyAlignment="1">
      <alignment horizontal="center"/>
    </xf>
    <xf numFmtId="167" fontId="14" fillId="15" borderId="8" xfId="0" applyNumberFormat="1" applyFont="1" applyFill="1" applyBorder="1" applyAlignment="1">
      <alignment horizontal="center" vertical="center"/>
    </xf>
    <xf numFmtId="164" fontId="3" fillId="15" borderId="0" xfId="0" applyNumberFormat="1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168" fontId="3" fillId="15" borderId="0" xfId="0" applyNumberFormat="1" applyFont="1" applyFill="1" applyAlignment="1">
      <alignment horizontal="center" vertical="center"/>
    </xf>
    <xf numFmtId="169" fontId="6" fillId="6" borderId="1" xfId="0" applyNumberFormat="1" applyFont="1" applyFill="1" applyBorder="1" applyAlignment="1">
      <alignment horizontal="center"/>
    </xf>
    <xf numFmtId="49" fontId="0" fillId="6" borderId="1" xfId="0" applyNumberFormat="1" applyFill="1" applyBorder="1" applyAlignment="1">
      <alignment horizontal="center" vertical="center"/>
    </xf>
    <xf numFmtId="168" fontId="5" fillId="6" borderId="2" xfId="0" applyNumberFormat="1" applyFont="1" applyFill="1" applyBorder="1"/>
    <xf numFmtId="0" fontId="0" fillId="16" borderId="1" xfId="0" applyFill="1" applyBorder="1" applyAlignment="1">
      <alignment horizontal="center" vertical="center"/>
    </xf>
    <xf numFmtId="49" fontId="4" fillId="16" borderId="5" xfId="0" quotePrefix="1" applyNumberFormat="1" applyFont="1" applyFill="1" applyBorder="1" applyAlignment="1">
      <alignment horizontal="center" wrapText="1"/>
    </xf>
    <xf numFmtId="0" fontId="6" fillId="16" borderId="1" xfId="0" applyFont="1" applyFill="1" applyBorder="1"/>
    <xf numFmtId="0" fontId="0" fillId="16" borderId="2" xfId="0" applyFill="1" applyBorder="1" applyAlignment="1">
      <alignment horizontal="center" vertical="center"/>
    </xf>
    <xf numFmtId="168" fontId="5" fillId="16" borderId="3" xfId="0" applyNumberFormat="1" applyFont="1" applyFill="1" applyBorder="1" applyAlignment="1">
      <alignment vertical="top" wrapText="1"/>
    </xf>
    <xf numFmtId="168" fontId="7" fillId="16" borderId="1" xfId="0" applyNumberFormat="1" applyFont="1" applyFill="1" applyBorder="1"/>
    <xf numFmtId="168" fontId="7" fillId="16" borderId="6" xfId="0" applyNumberFormat="1" applyFont="1" applyFill="1" applyBorder="1" applyAlignment="1">
      <alignment horizontal="center"/>
    </xf>
    <xf numFmtId="168" fontId="7" fillId="16" borderId="1" xfId="0" applyNumberFormat="1" applyFont="1" applyFill="1" applyBorder="1" applyAlignment="1">
      <alignment horizontal="center"/>
    </xf>
    <xf numFmtId="169" fontId="6" fillId="16" borderId="1" xfId="0" applyNumberFormat="1" applyFont="1" applyFill="1" applyBorder="1" applyAlignment="1">
      <alignment horizontal="center"/>
    </xf>
    <xf numFmtId="168" fontId="5" fillId="16" borderId="2" xfId="0" applyNumberFormat="1" applyFont="1" applyFill="1" applyBorder="1"/>
    <xf numFmtId="0" fontId="2" fillId="16" borderId="1" xfId="0" applyFont="1" applyFill="1" applyBorder="1" applyAlignment="1">
      <alignment horizontal="center" vertical="center"/>
    </xf>
    <xf numFmtId="168" fontId="3" fillId="16" borderId="0" xfId="0" applyNumberFormat="1" applyFont="1" applyFill="1" applyAlignment="1">
      <alignment horizontal="center" vertical="center"/>
    </xf>
    <xf numFmtId="0" fontId="0" fillId="16" borderId="0" xfId="0" applyFill="1" applyAlignment="1">
      <alignment horizontal="center"/>
    </xf>
    <xf numFmtId="0" fontId="0" fillId="16" borderId="0" xfId="0" applyFill="1"/>
    <xf numFmtId="169" fontId="15" fillId="13" borderId="8" xfId="0" applyNumberFormat="1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left" vertical="center"/>
    </xf>
    <xf numFmtId="49" fontId="0" fillId="17" borderId="12" xfId="0" applyNumberFormat="1" applyFill="1" applyBorder="1" applyAlignment="1">
      <alignment horizontal="center" vertical="center"/>
    </xf>
    <xf numFmtId="0" fontId="15" fillId="17" borderId="1" xfId="0" applyFont="1" applyFill="1" applyBorder="1"/>
    <xf numFmtId="0" fontId="3" fillId="17" borderId="8" xfId="0" applyFont="1" applyFill="1" applyBorder="1" applyAlignment="1">
      <alignment horizontal="center" vertical="center"/>
    </xf>
    <xf numFmtId="167" fontId="3" fillId="17" borderId="4" xfId="0" applyNumberFormat="1" applyFont="1" applyFill="1" applyBorder="1" applyAlignment="1">
      <alignment horizontal="center" vertical="center"/>
    </xf>
    <xf numFmtId="167" fontId="3" fillId="17" borderId="5" xfId="0" applyNumberFormat="1" applyFont="1" applyFill="1" applyBorder="1" applyAlignment="1">
      <alignment horizontal="center" vertical="center"/>
    </xf>
    <xf numFmtId="169" fontId="7" fillId="17" borderId="15" xfId="0" applyNumberFormat="1" applyFont="1" applyFill="1" applyBorder="1" applyAlignment="1">
      <alignment horizontal="center"/>
    </xf>
    <xf numFmtId="169" fontId="7" fillId="17" borderId="0" xfId="0" applyNumberFormat="1" applyFont="1" applyFill="1" applyAlignment="1">
      <alignment horizontal="center"/>
    </xf>
    <xf numFmtId="169" fontId="6" fillId="17" borderId="1" xfId="0" applyNumberFormat="1" applyFont="1" applyFill="1" applyBorder="1" applyAlignment="1">
      <alignment horizontal="center"/>
    </xf>
    <xf numFmtId="167" fontId="3" fillId="17" borderId="1" xfId="0" applyNumberFormat="1" applyFont="1" applyFill="1" applyBorder="1" applyAlignment="1">
      <alignment horizontal="center" vertical="center"/>
    </xf>
    <xf numFmtId="164" fontId="3" fillId="17" borderId="0" xfId="0" applyNumberFormat="1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0" fillId="17" borderId="12" xfId="0" applyFill="1" applyBorder="1" applyAlignment="1">
      <alignment horizontal="left" vertical="center"/>
    </xf>
    <xf numFmtId="169" fontId="7" fillId="17" borderId="1" xfId="0" applyNumberFormat="1" applyFont="1" applyFill="1" applyBorder="1" applyAlignment="1">
      <alignment horizontal="center"/>
    </xf>
    <xf numFmtId="169" fontId="7" fillId="17" borderId="3" xfId="0" applyNumberFormat="1" applyFont="1" applyFill="1" applyBorder="1" applyAlignment="1">
      <alignment horizontal="center"/>
    </xf>
    <xf numFmtId="164" fontId="4" fillId="17" borderId="1" xfId="0" quotePrefix="1" applyNumberFormat="1" applyFont="1" applyFill="1" applyBorder="1" applyAlignment="1">
      <alignment horizontal="center" vertical="center"/>
    </xf>
    <xf numFmtId="166" fontId="4" fillId="17" borderId="2" xfId="0" quotePrefix="1" applyNumberFormat="1" applyFont="1" applyFill="1" applyBorder="1" applyAlignment="1">
      <alignment horizontal="center" vertical="center"/>
    </xf>
    <xf numFmtId="167" fontId="3" fillId="17" borderId="2" xfId="0" applyNumberFormat="1" applyFont="1" applyFill="1" applyBorder="1" applyAlignment="1">
      <alignment horizontal="center" vertical="center"/>
    </xf>
    <xf numFmtId="166" fontId="3" fillId="17" borderId="0" xfId="0" applyNumberFormat="1" applyFont="1" applyFill="1" applyAlignment="1">
      <alignment horizontal="center" vertical="center"/>
    </xf>
    <xf numFmtId="169" fontId="32" fillId="2" borderId="1" xfId="0" applyNumberFormat="1" applyFont="1" applyFill="1" applyBorder="1" applyAlignment="1">
      <alignment horizontal="center"/>
    </xf>
    <xf numFmtId="167" fontId="1" fillId="13" borderId="1" xfId="0" applyNumberFormat="1" applyFont="1" applyFill="1" applyBorder="1" applyAlignment="1">
      <alignment horizontal="center" vertical="center"/>
    </xf>
    <xf numFmtId="165" fontId="0" fillId="2" borderId="1" xfId="1" applyNumberFormat="1" applyFont="1" applyFill="1" applyBorder="1"/>
    <xf numFmtId="165" fontId="3" fillId="2" borderId="1" xfId="0" applyNumberFormat="1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167" fontId="3" fillId="4" borderId="18" xfId="0" applyNumberFormat="1" applyFont="1" applyFill="1" applyBorder="1" applyAlignment="1">
      <alignment horizontal="center"/>
    </xf>
    <xf numFmtId="167" fontId="3" fillId="2" borderId="18" xfId="0" applyNumberFormat="1" applyFont="1" applyFill="1" applyBorder="1" applyAlignment="1">
      <alignment horizontal="center"/>
    </xf>
    <xf numFmtId="167" fontId="3" fillId="11" borderId="18" xfId="0" applyNumberFormat="1" applyFont="1" applyFill="1" applyBorder="1" applyAlignment="1">
      <alignment horizontal="center"/>
    </xf>
    <xf numFmtId="167" fontId="3" fillId="10" borderId="18" xfId="0" applyNumberFormat="1" applyFont="1" applyFill="1" applyBorder="1" applyAlignment="1">
      <alignment horizontal="center"/>
    </xf>
    <xf numFmtId="167" fontId="3" fillId="7" borderId="18" xfId="0" applyNumberFormat="1" applyFont="1" applyFill="1" applyBorder="1" applyAlignment="1">
      <alignment horizontal="center" vertical="center"/>
    </xf>
    <xf numFmtId="168" fontId="3" fillId="3" borderId="18" xfId="0" applyNumberFormat="1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1" fontId="7" fillId="10" borderId="26" xfId="0" applyNumberFormat="1" applyFont="1" applyFill="1" applyBorder="1"/>
    <xf numFmtId="41" fontId="7" fillId="10" borderId="23" xfId="0" applyNumberFormat="1" applyFont="1" applyFill="1" applyBorder="1"/>
    <xf numFmtId="41" fontId="7" fillId="10" borderId="23" xfId="0" applyNumberFormat="1" applyFont="1" applyFill="1" applyBorder="1" applyAlignment="1">
      <alignment horizontal="center"/>
    </xf>
    <xf numFmtId="41" fontId="7" fillId="2" borderId="23" xfId="0" applyNumberFormat="1" applyFont="1" applyFill="1" applyBorder="1"/>
    <xf numFmtId="169" fontId="7" fillId="10" borderId="6" xfId="0" applyNumberFormat="1" applyFont="1" applyFill="1" applyBorder="1"/>
    <xf numFmtId="41" fontId="6" fillId="2" borderId="1" xfId="0" applyNumberFormat="1" applyFont="1" applyFill="1" applyBorder="1"/>
    <xf numFmtId="167" fontId="3" fillId="5" borderId="0" xfId="0" applyNumberFormat="1" applyFont="1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0" borderId="1" xfId="0" applyFont="1" applyBorder="1"/>
    <xf numFmtId="0" fontId="35" fillId="0" borderId="1" xfId="0" applyFont="1" applyBorder="1" applyAlignment="1">
      <alignment horizontal="center"/>
    </xf>
    <xf numFmtId="0" fontId="3" fillId="14" borderId="18" xfId="0" applyFont="1" applyFill="1" applyBorder="1" applyAlignment="1">
      <alignment horizontal="center" vertical="center"/>
    </xf>
    <xf numFmtId="169" fontId="15" fillId="13" borderId="11" xfId="0" applyNumberFormat="1" applyFont="1" applyFill="1" applyBorder="1" applyAlignment="1">
      <alignment horizontal="center"/>
    </xf>
    <xf numFmtId="169" fontId="15" fillId="5" borderId="11" xfId="0" applyNumberFormat="1" applyFont="1" applyFill="1" applyBorder="1" applyAlignment="1">
      <alignment horizontal="center"/>
    </xf>
    <xf numFmtId="169" fontId="36" fillId="5" borderId="11" xfId="0" applyNumberFormat="1" applyFont="1" applyFill="1" applyBorder="1" applyAlignment="1">
      <alignment horizontal="center"/>
    </xf>
    <xf numFmtId="170" fontId="37" fillId="13" borderId="8" xfId="0" applyNumberFormat="1" applyFont="1" applyFill="1" applyBorder="1" applyAlignment="1">
      <alignment vertical="center"/>
    </xf>
    <xf numFmtId="166" fontId="35" fillId="13" borderId="2" xfId="0" quotePrefix="1" applyNumberFormat="1" applyFont="1" applyFill="1" applyBorder="1" applyAlignment="1">
      <alignment horizontal="center" vertical="center"/>
    </xf>
    <xf numFmtId="166" fontId="35" fillId="17" borderId="2" xfId="0" quotePrefix="1" applyNumberFormat="1" applyFont="1" applyFill="1" applyBorder="1" applyAlignment="1">
      <alignment horizontal="center" vertical="center"/>
    </xf>
    <xf numFmtId="169" fontId="15" fillId="13" borderId="2" xfId="0" applyNumberFormat="1" applyFont="1" applyFill="1" applyBorder="1" applyAlignment="1">
      <alignment horizontal="center"/>
    </xf>
    <xf numFmtId="169" fontId="36" fillId="5" borderId="2" xfId="0" applyNumberFormat="1" applyFont="1" applyFill="1" applyBorder="1" applyAlignment="1">
      <alignment horizontal="center"/>
    </xf>
    <xf numFmtId="164" fontId="15" fillId="13" borderId="1" xfId="0" applyNumberFormat="1" applyFont="1" applyFill="1" applyBorder="1" applyAlignment="1">
      <alignment horizontal="center"/>
    </xf>
    <xf numFmtId="169" fontId="15" fillId="17" borderId="1" xfId="0" applyNumberFormat="1" applyFont="1" applyFill="1" applyBorder="1" applyAlignment="1">
      <alignment horizontal="center"/>
    </xf>
    <xf numFmtId="169" fontId="15" fillId="13" borderId="1" xfId="0" applyNumberFormat="1" applyFont="1" applyFill="1" applyBorder="1" applyAlignment="1">
      <alignment horizontal="center"/>
    </xf>
    <xf numFmtId="169" fontId="15" fillId="13" borderId="8" xfId="0" applyNumberFormat="1" applyFont="1" applyFill="1" applyBorder="1" applyAlignment="1">
      <alignment horizontal="center"/>
    </xf>
    <xf numFmtId="167" fontId="38" fillId="13" borderId="11" xfId="0" applyNumberFormat="1" applyFont="1" applyFill="1" applyBorder="1" applyAlignment="1">
      <alignment horizontal="center" vertical="center"/>
    </xf>
    <xf numFmtId="167" fontId="36" fillId="5" borderId="11" xfId="0" applyNumberFormat="1" applyFont="1" applyFill="1" applyBorder="1" applyAlignment="1">
      <alignment horizontal="center" vertical="center"/>
    </xf>
    <xf numFmtId="167" fontId="36" fillId="13" borderId="8" xfId="0" applyNumberFormat="1" applyFont="1" applyFill="1" applyBorder="1" applyAlignment="1">
      <alignment horizontal="center" vertical="center"/>
    </xf>
    <xf numFmtId="167" fontId="36" fillId="5" borderId="8" xfId="0" applyNumberFormat="1" applyFont="1" applyFill="1" applyBorder="1" applyAlignment="1">
      <alignment horizontal="center" vertical="center"/>
    </xf>
    <xf numFmtId="168" fontId="15" fillId="13" borderId="2" xfId="0" applyNumberFormat="1" applyFont="1" applyFill="1" applyBorder="1" applyAlignment="1">
      <alignment wrapText="1"/>
    </xf>
    <xf numFmtId="168" fontId="36" fillId="13" borderId="2" xfId="0" applyNumberFormat="1" applyFont="1" applyFill="1" applyBorder="1" applyAlignment="1">
      <alignment vertical="top" wrapText="1"/>
    </xf>
    <xf numFmtId="167" fontId="15" fillId="13" borderId="0" xfId="0" applyNumberFormat="1" applyFont="1" applyFill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0" fillId="15" borderId="12" xfId="0" applyFill="1" applyBorder="1" applyAlignment="1">
      <alignment horizontal="left" vertical="center"/>
    </xf>
    <xf numFmtId="49" fontId="0" fillId="15" borderId="12" xfId="0" applyNumberFormat="1" applyFill="1" applyBorder="1" applyAlignment="1">
      <alignment horizontal="center" vertical="center"/>
    </xf>
    <xf numFmtId="0" fontId="25" fillId="15" borderId="1" xfId="0" applyFont="1" applyFill="1" applyBorder="1" applyAlignment="1">
      <alignment vertical="center" wrapText="1"/>
    </xf>
    <xf numFmtId="0" fontId="3" fillId="15" borderId="4" xfId="0" applyFont="1" applyFill="1" applyBorder="1" applyAlignment="1">
      <alignment horizontal="center" vertical="center"/>
    </xf>
    <xf numFmtId="167" fontId="3" fillId="15" borderId="4" xfId="0" applyNumberFormat="1" applyFont="1" applyFill="1" applyBorder="1" applyAlignment="1">
      <alignment horizontal="center" vertical="center"/>
    </xf>
    <xf numFmtId="167" fontId="3" fillId="15" borderId="5" xfId="0" applyNumberFormat="1" applyFont="1" applyFill="1" applyBorder="1" applyAlignment="1">
      <alignment horizontal="center" vertical="center"/>
    </xf>
    <xf numFmtId="169" fontId="32" fillId="15" borderId="9" xfId="0" applyNumberFormat="1" applyFont="1" applyFill="1" applyBorder="1" applyAlignment="1">
      <alignment horizontal="center"/>
    </xf>
    <xf numFmtId="170" fontId="34" fillId="15" borderId="1" xfId="0" applyNumberFormat="1" applyFont="1" applyFill="1" applyBorder="1" applyAlignment="1">
      <alignment vertical="center"/>
    </xf>
    <xf numFmtId="170" fontId="37" fillId="15" borderId="8" xfId="0" applyNumberFormat="1" applyFont="1" applyFill="1" applyBorder="1" applyAlignment="1">
      <alignment vertical="center"/>
    </xf>
    <xf numFmtId="167" fontId="3" fillId="15" borderId="8" xfId="0" applyNumberFormat="1" applyFont="1" applyFill="1" applyBorder="1" applyAlignment="1">
      <alignment horizontal="center" vertical="center"/>
    </xf>
    <xf numFmtId="0" fontId="34" fillId="15" borderId="1" xfId="0" applyFont="1" applyFill="1" applyBorder="1" applyAlignment="1">
      <alignment vertical="center" wrapText="1"/>
    </xf>
    <xf numFmtId="0" fontId="25" fillId="15" borderId="4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 wrapText="1"/>
    </xf>
    <xf numFmtId="0" fontId="14" fillId="15" borderId="12" xfId="0" applyFont="1" applyFill="1" applyBorder="1" applyAlignment="1">
      <alignment horizontal="center" vertical="center"/>
    </xf>
    <xf numFmtId="167" fontId="3" fillId="15" borderId="12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vertical="center"/>
    </xf>
    <xf numFmtId="49" fontId="12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0" fontId="0" fillId="15" borderId="12" xfId="0" applyFill="1" applyBorder="1" applyAlignment="1">
      <alignment horizontal="center" vertical="center"/>
    </xf>
    <xf numFmtId="49" fontId="0" fillId="15" borderId="1" xfId="0" applyNumberFormat="1" applyFill="1" applyBorder="1" applyAlignment="1">
      <alignment vertical="center"/>
    </xf>
    <xf numFmtId="167" fontId="3" fillId="15" borderId="1" xfId="0" applyNumberFormat="1" applyFont="1" applyFill="1" applyBorder="1" applyAlignment="1">
      <alignment horizontal="center" vertical="center"/>
    </xf>
    <xf numFmtId="168" fontId="0" fillId="15" borderId="1" xfId="1" applyNumberFormat="1" applyFont="1" applyFill="1" applyBorder="1"/>
    <xf numFmtId="0" fontId="3" fillId="15" borderId="9" xfId="0" applyFont="1" applyFill="1" applyBorder="1" applyAlignment="1">
      <alignment horizontal="center" vertical="center"/>
    </xf>
    <xf numFmtId="168" fontId="33" fillId="5" borderId="1" xfId="0" applyNumberFormat="1" applyFont="1" applyFill="1" applyBorder="1" applyAlignment="1">
      <alignment vertical="top" wrapText="1"/>
    </xf>
    <xf numFmtId="42" fontId="4" fillId="16" borderId="1" xfId="0" applyNumberFormat="1" applyFont="1" applyFill="1" applyBorder="1" applyAlignment="1">
      <alignment horizontal="center" vertical="center" wrapText="1"/>
    </xf>
    <xf numFmtId="0" fontId="14" fillId="16" borderId="12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 wrapText="1"/>
    </xf>
    <xf numFmtId="0" fontId="3" fillId="16" borderId="24" xfId="0" applyFont="1" applyFill="1" applyBorder="1" applyAlignment="1">
      <alignment horizontal="center" vertical="center"/>
    </xf>
    <xf numFmtId="167" fontId="3" fillId="16" borderId="12" xfId="0" applyNumberFormat="1" applyFont="1" applyFill="1" applyBorder="1" applyAlignment="1">
      <alignment horizontal="center" vertical="center"/>
    </xf>
    <xf numFmtId="167" fontId="3" fillId="16" borderId="21" xfId="0" applyNumberFormat="1" applyFont="1" applyFill="1" applyBorder="1" applyAlignment="1">
      <alignment horizontal="center" vertical="center"/>
    </xf>
    <xf numFmtId="169" fontId="7" fillId="16" borderId="12" xfId="0" applyNumberFormat="1" applyFont="1" applyFill="1" applyBorder="1"/>
    <xf numFmtId="169" fontId="7" fillId="16" borderId="24" xfId="0" applyNumberFormat="1" applyFont="1" applyFill="1" applyBorder="1"/>
    <xf numFmtId="169" fontId="32" fillId="16" borderId="24" xfId="0" applyNumberFormat="1" applyFont="1" applyFill="1" applyBorder="1"/>
    <xf numFmtId="167" fontId="3" fillId="16" borderId="24" xfId="0" applyNumberFormat="1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167" fontId="14" fillId="2" borderId="24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0" fillId="18" borderId="12" xfId="0" applyFill="1" applyBorder="1" applyAlignment="1">
      <alignment horizontal="left" vertical="center"/>
    </xf>
    <xf numFmtId="49" fontId="0" fillId="18" borderId="12" xfId="0" applyNumberFormat="1" applyFill="1" applyBorder="1" applyAlignment="1">
      <alignment horizontal="center" vertical="center"/>
    </xf>
    <xf numFmtId="0" fontId="25" fillId="18" borderId="22" xfId="0" applyFont="1" applyFill="1" applyBorder="1" applyAlignment="1">
      <alignment vertical="center"/>
    </xf>
    <xf numFmtId="167" fontId="3" fillId="18" borderId="1" xfId="0" applyNumberFormat="1" applyFont="1" applyFill="1" applyBorder="1" applyAlignment="1">
      <alignment horizontal="center" vertical="center"/>
    </xf>
    <xf numFmtId="169" fontId="7" fillId="18" borderId="1" xfId="0" applyNumberFormat="1" applyFont="1" applyFill="1" applyBorder="1" applyAlignment="1">
      <alignment horizontal="center"/>
    </xf>
    <xf numFmtId="169" fontId="7" fillId="18" borderId="3" xfId="0" applyNumberFormat="1" applyFont="1" applyFill="1" applyBorder="1" applyAlignment="1">
      <alignment horizontal="center"/>
    </xf>
    <xf numFmtId="164" fontId="4" fillId="18" borderId="1" xfId="0" quotePrefix="1" applyNumberFormat="1" applyFont="1" applyFill="1" applyBorder="1" applyAlignment="1">
      <alignment horizontal="center" vertical="center"/>
    </xf>
    <xf numFmtId="166" fontId="4" fillId="18" borderId="2" xfId="0" quotePrefix="1" applyNumberFormat="1" applyFont="1" applyFill="1" applyBorder="1" applyAlignment="1">
      <alignment horizontal="center" vertical="center"/>
    </xf>
    <xf numFmtId="166" fontId="35" fillId="18" borderId="2" xfId="0" quotePrefix="1" applyNumberFormat="1" applyFont="1" applyFill="1" applyBorder="1" applyAlignment="1">
      <alignment horizontal="center" vertical="center"/>
    </xf>
    <xf numFmtId="167" fontId="3" fillId="18" borderId="2" xfId="0" applyNumberFormat="1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center" vertical="center"/>
    </xf>
    <xf numFmtId="166" fontId="3" fillId="18" borderId="0" xfId="0" applyNumberFormat="1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14" fillId="18" borderId="4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49" fontId="0" fillId="18" borderId="1" xfId="0" applyNumberFormat="1" applyFill="1" applyBorder="1" applyAlignment="1">
      <alignment horizontal="center" vertical="center"/>
    </xf>
    <xf numFmtId="49" fontId="0" fillId="18" borderId="1" xfId="0" applyNumberFormat="1" applyFill="1" applyBorder="1" applyAlignment="1">
      <alignment horizontal="center"/>
    </xf>
    <xf numFmtId="0" fontId="6" fillId="18" borderId="1" xfId="0" applyFont="1" applyFill="1" applyBorder="1" applyAlignment="1">
      <alignment vertical="center"/>
    </xf>
    <xf numFmtId="0" fontId="14" fillId="18" borderId="8" xfId="0" applyFont="1" applyFill="1" applyBorder="1" applyAlignment="1">
      <alignment horizontal="center" vertical="center"/>
    </xf>
    <xf numFmtId="167" fontId="14" fillId="18" borderId="5" xfId="0" applyNumberFormat="1" applyFont="1" applyFill="1" applyBorder="1" applyAlignment="1">
      <alignment horizontal="center" vertical="center"/>
    </xf>
    <xf numFmtId="167" fontId="14" fillId="18" borderId="4" xfId="0" applyNumberFormat="1" applyFont="1" applyFill="1" applyBorder="1" applyAlignment="1">
      <alignment horizontal="center" vertical="center"/>
    </xf>
    <xf numFmtId="169" fontId="7" fillId="18" borderId="14" xfId="0" applyNumberFormat="1" applyFont="1" applyFill="1" applyBorder="1" applyAlignment="1">
      <alignment horizontal="center"/>
    </xf>
    <xf numFmtId="169" fontId="7" fillId="18" borderId="0" xfId="0" applyNumberFormat="1" applyFont="1" applyFill="1" applyAlignment="1">
      <alignment horizontal="center"/>
    </xf>
    <xf numFmtId="169" fontId="6" fillId="18" borderId="1" xfId="0" applyNumberFormat="1" applyFont="1" applyFill="1" applyBorder="1" applyAlignment="1">
      <alignment horizontal="center"/>
    </xf>
    <xf numFmtId="169" fontId="15" fillId="18" borderId="8" xfId="0" applyNumberFormat="1" applyFont="1" applyFill="1" applyBorder="1" applyAlignment="1">
      <alignment horizontal="center"/>
    </xf>
    <xf numFmtId="167" fontId="14" fillId="18" borderId="8" xfId="0" applyNumberFormat="1" applyFont="1" applyFill="1" applyBorder="1" applyAlignment="1">
      <alignment horizontal="center" vertical="center"/>
    </xf>
    <xf numFmtId="164" fontId="3" fillId="18" borderId="0" xfId="0" applyNumberFormat="1" applyFont="1" applyFill="1" applyAlignment="1">
      <alignment horizontal="center" vertical="center"/>
    </xf>
    <xf numFmtId="0" fontId="14" fillId="18" borderId="0" xfId="0" applyFont="1" applyFill="1" applyAlignment="1">
      <alignment horizontal="center" vertical="center"/>
    </xf>
    <xf numFmtId="167" fontId="33" fillId="13" borderId="18" xfId="0" applyNumberFormat="1" applyFont="1" applyFill="1" applyBorder="1" applyAlignment="1">
      <alignment horizontal="center" vertical="center" wrapText="1"/>
    </xf>
    <xf numFmtId="167" fontId="3" fillId="13" borderId="18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19" borderId="4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left" vertical="center"/>
    </xf>
    <xf numFmtId="49" fontId="0" fillId="19" borderId="5" xfId="0" applyNumberFormat="1" applyFill="1" applyBorder="1" applyAlignment="1">
      <alignment horizontal="center" vertical="center"/>
    </xf>
    <xf numFmtId="167" fontId="3" fillId="19" borderId="4" xfId="0" applyNumberFormat="1" applyFont="1" applyFill="1" applyBorder="1" applyAlignment="1">
      <alignment horizontal="center" vertical="center"/>
    </xf>
    <xf numFmtId="167" fontId="3" fillId="19" borderId="5" xfId="0" applyNumberFormat="1" applyFont="1" applyFill="1" applyBorder="1" applyAlignment="1">
      <alignment horizontal="center" vertical="center"/>
    </xf>
    <xf numFmtId="169" fontId="7" fillId="19" borderId="15" xfId="0" applyNumberFormat="1" applyFont="1" applyFill="1" applyBorder="1" applyAlignment="1">
      <alignment horizontal="center"/>
    </xf>
    <xf numFmtId="169" fontId="7" fillId="19" borderId="0" xfId="0" applyNumberFormat="1" applyFont="1" applyFill="1" applyAlignment="1">
      <alignment horizontal="center"/>
    </xf>
    <xf numFmtId="167" fontId="3" fillId="19" borderId="8" xfId="0" applyNumberFormat="1" applyFont="1" applyFill="1" applyBorder="1" applyAlignment="1">
      <alignment horizontal="center" vertical="center"/>
    </xf>
    <xf numFmtId="168" fontId="3" fillId="19" borderId="0" xfId="0" applyNumberFormat="1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169" fontId="6" fillId="19" borderId="30" xfId="0" applyNumberFormat="1" applyFont="1" applyFill="1" applyBorder="1" applyAlignment="1">
      <alignment horizontal="center"/>
    </xf>
    <xf numFmtId="169" fontId="15" fillId="19" borderId="30" xfId="0" applyNumberFormat="1" applyFont="1" applyFill="1" applyBorder="1" applyAlignment="1">
      <alignment horizontal="center"/>
    </xf>
    <xf numFmtId="0" fontId="15" fillId="0" borderId="1" xfId="0" applyFont="1" applyBorder="1" applyAlignment="1">
      <alignment vertical="center"/>
    </xf>
    <xf numFmtId="0" fontId="15" fillId="19" borderId="1" xfId="0" applyFont="1" applyFill="1" applyBorder="1" applyAlignment="1">
      <alignment horizontal="left" vertical="center"/>
    </xf>
    <xf numFmtId="167" fontId="3" fillId="20" borderId="8" xfId="0" applyNumberFormat="1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6" fillId="2" borderId="2" xfId="0" applyFont="1" applyFill="1" applyBorder="1"/>
    <xf numFmtId="0" fontId="6" fillId="2" borderId="24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69" fontId="3" fillId="5" borderId="24" xfId="0" applyNumberFormat="1" applyFont="1" applyFill="1" applyBorder="1"/>
    <xf numFmtId="169" fontId="3" fillId="13" borderId="24" xfId="0" applyNumberFormat="1" applyFont="1" applyFill="1" applyBorder="1"/>
    <xf numFmtId="169" fontId="3" fillId="16" borderId="24" xfId="0" applyNumberFormat="1" applyFont="1" applyFill="1" applyBorder="1"/>
    <xf numFmtId="169" fontId="3" fillId="13" borderId="1" xfId="0" applyNumberFormat="1" applyFont="1" applyFill="1" applyBorder="1"/>
    <xf numFmtId="168" fontId="3" fillId="13" borderId="12" xfId="1" applyNumberFormat="1" applyFont="1" applyFill="1" applyBorder="1"/>
    <xf numFmtId="168" fontId="3" fillId="13" borderId="1" xfId="1" applyNumberFormat="1" applyFont="1" applyFill="1" applyBorder="1"/>
    <xf numFmtId="168" fontId="3" fillId="15" borderId="1" xfId="1" applyNumberFormat="1" applyFont="1" applyFill="1" applyBorder="1"/>
    <xf numFmtId="168" fontId="3" fillId="5" borderId="1" xfId="1" applyNumberFormat="1" applyFont="1" applyFill="1" applyBorder="1"/>
    <xf numFmtId="42" fontId="14" fillId="13" borderId="1" xfId="0" applyNumberFormat="1" applyFont="1" applyFill="1" applyBorder="1" applyAlignment="1">
      <alignment horizontal="center" vertical="center" wrapText="1"/>
    </xf>
    <xf numFmtId="164" fontId="3" fillId="13" borderId="1" xfId="0" applyNumberFormat="1" applyFont="1" applyFill="1" applyBorder="1"/>
    <xf numFmtId="167" fontId="3" fillId="13" borderId="0" xfId="0" applyNumberFormat="1" applyFont="1" applyFill="1"/>
    <xf numFmtId="171" fontId="0" fillId="7" borderId="1" xfId="0" applyNumberFormat="1" applyFill="1" applyBorder="1" applyAlignment="1">
      <alignment horizontal="center"/>
    </xf>
    <xf numFmtId="171" fontId="0" fillId="15" borderId="12" xfId="0" applyNumberFormat="1" applyFill="1" applyBorder="1" applyAlignment="1">
      <alignment horizontal="center"/>
    </xf>
    <xf numFmtId="169" fontId="0" fillId="7" borderId="1" xfId="0" applyNumberFormat="1" applyFill="1" applyBorder="1"/>
    <xf numFmtId="169" fontId="3" fillId="7" borderId="24" xfId="0" applyNumberFormat="1" applyFont="1" applyFill="1" applyBorder="1"/>
    <xf numFmtId="164" fontId="0" fillId="7" borderId="1" xfId="0" applyNumberFormat="1" applyFill="1" applyBorder="1"/>
    <xf numFmtId="169" fontId="3" fillId="7" borderId="1" xfId="0" applyNumberFormat="1" applyFont="1" applyFill="1" applyBorder="1"/>
    <xf numFmtId="167" fontId="0" fillId="7" borderId="0" xfId="0" applyNumberFormat="1" applyFill="1"/>
    <xf numFmtId="0" fontId="15" fillId="19" borderId="1" xfId="0" quotePrefix="1" applyFont="1" applyFill="1" applyBorder="1" applyAlignment="1">
      <alignment horizontal="center" vertical="center"/>
    </xf>
    <xf numFmtId="49" fontId="35" fillId="5" borderId="4" xfId="0" applyNumberFormat="1" applyFont="1" applyFill="1" applyBorder="1" applyAlignment="1">
      <alignment horizontal="center"/>
    </xf>
    <xf numFmtId="0" fontId="15" fillId="0" borderId="1" xfId="0" quotePrefix="1" applyFont="1" applyBorder="1" applyAlignment="1">
      <alignment horizontal="center" vertical="center"/>
    </xf>
    <xf numFmtId="49" fontId="35" fillId="2" borderId="4" xfId="0" applyNumberFormat="1" applyFont="1" applyFill="1" applyBorder="1" applyAlignment="1">
      <alignment horizontal="center"/>
    </xf>
    <xf numFmtId="49" fontId="35" fillId="4" borderId="4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69" fontId="32" fillId="5" borderId="1" xfId="0" applyNumberFormat="1" applyFont="1" applyFill="1" applyBorder="1" applyAlignment="1">
      <alignment horizontal="center"/>
    </xf>
    <xf numFmtId="169" fontId="15" fillId="15" borderId="2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168" fontId="0" fillId="0" borderId="0" xfId="0" applyNumberFormat="1"/>
    <xf numFmtId="49" fontId="4" fillId="18" borderId="5" xfId="0" applyNumberFormat="1" applyFont="1" applyFill="1" applyBorder="1" applyAlignment="1">
      <alignment horizontal="center"/>
    </xf>
    <xf numFmtId="0" fontId="8" fillId="18" borderId="1" xfId="0" applyFont="1" applyFill="1" applyBorder="1"/>
    <xf numFmtId="0" fontId="3" fillId="18" borderId="8" xfId="0" applyFont="1" applyFill="1" applyBorder="1" applyAlignment="1">
      <alignment horizontal="center" vertical="center"/>
    </xf>
    <xf numFmtId="167" fontId="3" fillId="18" borderId="5" xfId="0" applyNumberFormat="1" applyFont="1" applyFill="1" applyBorder="1" applyAlignment="1">
      <alignment horizontal="center" vertical="center"/>
    </xf>
    <xf numFmtId="167" fontId="3" fillId="18" borderId="3" xfId="0" applyNumberFormat="1" applyFont="1" applyFill="1" applyBorder="1" applyAlignment="1">
      <alignment horizontal="center" vertical="center"/>
    </xf>
    <xf numFmtId="167" fontId="3" fillId="18" borderId="8" xfId="0" applyNumberFormat="1" applyFont="1" applyFill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25" fillId="2" borderId="24" xfId="0" applyFont="1" applyFill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18" borderId="11" xfId="0" applyFont="1" applyFill="1" applyBorder="1" applyAlignment="1">
      <alignment vertical="center"/>
    </xf>
    <xf numFmtId="0" fontId="25" fillId="2" borderId="2" xfId="0" applyFont="1" applyFill="1" applyBorder="1" applyAlignment="1">
      <alignment vertical="center" wrapText="1"/>
    </xf>
    <xf numFmtId="0" fontId="25" fillId="2" borderId="22" xfId="0" applyFont="1" applyFill="1" applyBorder="1" applyAlignment="1">
      <alignment vertical="center" wrapText="1"/>
    </xf>
    <xf numFmtId="0" fontId="25" fillId="2" borderId="11" xfId="0" applyFont="1" applyFill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25" fillId="2" borderId="2" xfId="0" applyFont="1" applyFill="1" applyBorder="1" applyAlignment="1">
      <alignment vertical="center"/>
    </xf>
    <xf numFmtId="0" fontId="28" fillId="0" borderId="1" xfId="0" applyFont="1" applyBorder="1" applyAlignment="1">
      <alignment horizontal="center"/>
    </xf>
    <xf numFmtId="0" fontId="28" fillId="18" borderId="1" xfId="0" applyFont="1" applyFill="1" applyBorder="1" applyAlignment="1">
      <alignment horizontal="center"/>
    </xf>
    <xf numFmtId="0" fontId="15" fillId="17" borderId="31" xfId="0" applyFont="1" applyFill="1" applyBorder="1"/>
    <xf numFmtId="0" fontId="15" fillId="19" borderId="4" xfId="0" applyFont="1" applyFill="1" applyBorder="1" applyAlignment="1">
      <alignment horizontal="center" vertical="center"/>
    </xf>
    <xf numFmtId="0" fontId="15" fillId="19" borderId="4" xfId="0" applyFont="1" applyFill="1" applyBorder="1" applyAlignment="1">
      <alignment horizontal="left" vertical="center"/>
    </xf>
    <xf numFmtId="169" fontId="7" fillId="19" borderId="16" xfId="0" applyNumberFormat="1" applyFont="1" applyFill="1" applyBorder="1" applyAlignment="1">
      <alignment horizontal="center"/>
    </xf>
    <xf numFmtId="169" fontId="6" fillId="19" borderId="4" xfId="0" applyNumberFormat="1" applyFont="1" applyFill="1" applyBorder="1" applyAlignment="1">
      <alignment horizontal="center"/>
    </xf>
    <xf numFmtId="169" fontId="15" fillId="19" borderId="4" xfId="0" applyNumberFormat="1" applyFont="1" applyFill="1" applyBorder="1" applyAlignment="1">
      <alignment horizontal="center"/>
    </xf>
    <xf numFmtId="49" fontId="15" fillId="2" borderId="9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167" fontId="3" fillId="4" borderId="9" xfId="0" applyNumberFormat="1" applyFont="1" applyFill="1" applyBorder="1" applyAlignment="1">
      <alignment horizontal="center" vertical="center"/>
    </xf>
    <xf numFmtId="169" fontId="15" fillId="2" borderId="1" xfId="0" applyNumberFormat="1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 vertical="center"/>
    </xf>
    <xf numFmtId="0" fontId="0" fillId="15" borderId="1" xfId="0" applyFill="1" applyBorder="1"/>
    <xf numFmtId="0" fontId="14" fillId="21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3" fillId="21" borderId="8" xfId="0" applyFont="1" applyFill="1" applyBorder="1" applyAlignment="1">
      <alignment horizontal="center" vertical="center"/>
    </xf>
    <xf numFmtId="167" fontId="3" fillId="21" borderId="5" xfId="0" applyNumberFormat="1" applyFont="1" applyFill="1" applyBorder="1" applyAlignment="1">
      <alignment horizontal="center" vertical="center"/>
    </xf>
    <xf numFmtId="167" fontId="3" fillId="21" borderId="1" xfId="0" applyNumberFormat="1" applyFont="1" applyFill="1" applyBorder="1" applyAlignment="1">
      <alignment horizontal="center" vertical="center"/>
    </xf>
    <xf numFmtId="168" fontId="3" fillId="21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164" fontId="0" fillId="2" borderId="1" xfId="0" applyNumberFormat="1" applyFill="1" applyBorder="1"/>
    <xf numFmtId="164" fontId="3" fillId="2" borderId="1" xfId="0" applyNumberFormat="1" applyFont="1" applyFill="1" applyBorder="1"/>
    <xf numFmtId="0" fontId="28" fillId="21" borderId="0" xfId="0" applyFont="1" applyFill="1" applyAlignment="1">
      <alignment horizontal="center"/>
    </xf>
    <xf numFmtId="0" fontId="4" fillId="21" borderId="1" xfId="2" applyFont="1" applyFill="1" applyBorder="1" applyAlignment="1">
      <alignment horizontal="left" vertical="center"/>
    </xf>
    <xf numFmtId="167" fontId="1" fillId="21" borderId="1" xfId="0" applyNumberFormat="1" applyFont="1" applyFill="1" applyBorder="1" applyAlignment="1">
      <alignment horizontal="center" vertical="center"/>
    </xf>
    <xf numFmtId="42" fontId="4" fillId="21" borderId="1" xfId="0" applyNumberFormat="1" applyFont="1" applyFill="1" applyBorder="1" applyAlignment="1">
      <alignment horizontal="center" vertical="center" wrapText="1"/>
    </xf>
    <xf numFmtId="42" fontId="14" fillId="21" borderId="1" xfId="0" applyNumberFormat="1" applyFont="1" applyFill="1" applyBorder="1" applyAlignment="1">
      <alignment horizontal="center" vertical="center" wrapText="1"/>
    </xf>
    <xf numFmtId="169" fontId="6" fillId="2" borderId="11" xfId="0" applyNumberFormat="1" applyFont="1" applyFill="1" applyBorder="1" applyAlignment="1">
      <alignment horizontal="center"/>
    </xf>
    <xf numFmtId="169" fontId="15" fillId="2" borderId="11" xfId="0" applyNumberFormat="1" applyFont="1" applyFill="1" applyBorder="1" applyAlignment="1">
      <alignment horizontal="center"/>
    </xf>
    <xf numFmtId="0" fontId="15" fillId="0" borderId="28" xfId="0" applyFont="1" applyBorder="1" applyAlignment="1">
      <alignment vertical="center"/>
    </xf>
    <xf numFmtId="0" fontId="3" fillId="21" borderId="4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left" vertical="center"/>
    </xf>
    <xf numFmtId="49" fontId="0" fillId="21" borderId="1" xfId="0" applyNumberFormat="1" applyFill="1" applyBorder="1" applyAlignment="1">
      <alignment horizontal="center" vertical="center"/>
    </xf>
    <xf numFmtId="49" fontId="4" fillId="21" borderId="5" xfId="0" applyNumberFormat="1" applyFont="1" applyFill="1" applyBorder="1" applyAlignment="1">
      <alignment horizontal="center"/>
    </xf>
    <xf numFmtId="0" fontId="0" fillId="21" borderId="4" xfId="0" applyFill="1" applyBorder="1" applyAlignment="1">
      <alignment horizontal="left" vertical="center"/>
    </xf>
    <xf numFmtId="167" fontId="3" fillId="21" borderId="10" xfId="0" applyNumberFormat="1" applyFont="1" applyFill="1" applyBorder="1" applyAlignment="1">
      <alignment horizontal="center" vertical="center"/>
    </xf>
    <xf numFmtId="169" fontId="7" fillId="21" borderId="0" xfId="0" applyNumberFormat="1" applyFont="1" applyFill="1" applyAlignment="1">
      <alignment horizontal="center"/>
    </xf>
    <xf numFmtId="169" fontId="6" fillId="21" borderId="1" xfId="0" applyNumberFormat="1" applyFont="1" applyFill="1" applyBorder="1" applyAlignment="1">
      <alignment horizontal="center"/>
    </xf>
    <xf numFmtId="169" fontId="15" fillId="21" borderId="8" xfId="0" applyNumberFormat="1" applyFont="1" applyFill="1" applyBorder="1" applyAlignment="1">
      <alignment horizontal="center"/>
    </xf>
    <xf numFmtId="167" fontId="3" fillId="21" borderId="8" xfId="0" applyNumberFormat="1" applyFont="1" applyFill="1" applyBorder="1" applyAlignment="1">
      <alignment horizontal="center" vertical="center"/>
    </xf>
    <xf numFmtId="164" fontId="3" fillId="21" borderId="0" xfId="0" applyNumberFormat="1" applyFont="1" applyFill="1" applyAlignment="1">
      <alignment horizontal="center" vertical="center"/>
    </xf>
    <xf numFmtId="0" fontId="8" fillId="18" borderId="1" xfId="0" applyFont="1" applyFill="1" applyBorder="1" applyAlignment="1">
      <alignment horizontal="left"/>
    </xf>
    <xf numFmtId="0" fontId="6" fillId="18" borderId="15" xfId="0" applyFont="1" applyFill="1" applyBorder="1" applyAlignment="1">
      <alignment horizontal="center"/>
    </xf>
    <xf numFmtId="0" fontId="12" fillId="18" borderId="1" xfId="0" applyFont="1" applyFill="1" applyBorder="1"/>
    <xf numFmtId="167" fontId="3" fillId="18" borderId="4" xfId="0" applyNumberFormat="1" applyFont="1" applyFill="1" applyBorder="1" applyAlignment="1">
      <alignment horizontal="center" vertical="center"/>
    </xf>
    <xf numFmtId="169" fontId="7" fillId="18" borderId="15" xfId="0" applyNumberFormat="1" applyFont="1" applyFill="1" applyBorder="1" applyAlignment="1">
      <alignment horizontal="center"/>
    </xf>
    <xf numFmtId="164" fontId="16" fillId="18" borderId="23" xfId="0" applyNumberFormat="1" applyFont="1" applyFill="1" applyBorder="1" applyAlignment="1">
      <alignment horizontal="center"/>
    </xf>
    <xf numFmtId="164" fontId="6" fillId="18" borderId="1" xfId="0" applyNumberFormat="1" applyFont="1" applyFill="1" applyBorder="1" applyAlignment="1">
      <alignment horizontal="center"/>
    </xf>
    <xf numFmtId="164" fontId="15" fillId="18" borderId="1" xfId="0" applyNumberFormat="1" applyFont="1" applyFill="1" applyBorder="1" applyAlignment="1">
      <alignment horizontal="center"/>
    </xf>
    <xf numFmtId="167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4" fillId="18" borderId="12" xfId="0" applyFont="1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0" fillId="18" borderId="21" xfId="0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/>
    </xf>
    <xf numFmtId="0" fontId="6" fillId="18" borderId="2" xfId="0" applyFont="1" applyFill="1" applyBorder="1" applyAlignment="1">
      <alignment horizontal="left"/>
    </xf>
    <xf numFmtId="0" fontId="3" fillId="18" borderId="24" xfId="0" applyFont="1" applyFill="1" applyBorder="1" applyAlignment="1">
      <alignment horizontal="center" vertical="center"/>
    </xf>
    <xf numFmtId="167" fontId="3" fillId="18" borderId="12" xfId="0" applyNumberFormat="1" applyFont="1" applyFill="1" applyBorder="1" applyAlignment="1">
      <alignment horizontal="center" vertical="center"/>
    </xf>
    <xf numFmtId="167" fontId="3" fillId="18" borderId="21" xfId="0" applyNumberFormat="1" applyFont="1" applyFill="1" applyBorder="1" applyAlignment="1">
      <alignment horizontal="center" vertical="center"/>
    </xf>
    <xf numFmtId="169" fontId="7" fillId="18" borderId="12" xfId="0" applyNumberFormat="1" applyFont="1" applyFill="1" applyBorder="1"/>
    <xf numFmtId="41" fontId="7" fillId="18" borderId="23" xfId="0" applyNumberFormat="1" applyFont="1" applyFill="1" applyBorder="1" applyAlignment="1">
      <alignment horizontal="center"/>
    </xf>
    <xf numFmtId="41" fontId="6" fillId="18" borderId="1" xfId="0" applyNumberFormat="1" applyFont="1" applyFill="1" applyBorder="1"/>
    <xf numFmtId="169" fontId="0" fillId="18" borderId="1" xfId="0" applyNumberFormat="1" applyFill="1" applyBorder="1"/>
    <xf numFmtId="169" fontId="3" fillId="18" borderId="1" xfId="0" applyNumberFormat="1" applyFont="1" applyFill="1" applyBorder="1"/>
    <xf numFmtId="167" fontId="3" fillId="18" borderId="24" xfId="0" applyNumberFormat="1" applyFont="1" applyFill="1" applyBorder="1" applyAlignment="1">
      <alignment horizontal="center" vertical="center"/>
    </xf>
    <xf numFmtId="168" fontId="3" fillId="18" borderId="0" xfId="0" applyNumberFormat="1" applyFont="1" applyFill="1" applyAlignment="1">
      <alignment horizontal="center" vertical="center"/>
    </xf>
    <xf numFmtId="0" fontId="3" fillId="18" borderId="12" xfId="0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horizontal="center" vertical="center"/>
    </xf>
    <xf numFmtId="167" fontId="3" fillId="15" borderId="0" xfId="0" applyNumberFormat="1" applyFont="1" applyFill="1" applyAlignment="1">
      <alignment horizontal="center" vertical="center"/>
    </xf>
    <xf numFmtId="167" fontId="3" fillId="21" borderId="0" xfId="0" applyNumberFormat="1" applyFont="1" applyFill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167" fontId="3" fillId="2" borderId="11" xfId="0" applyNumberFormat="1" applyFont="1" applyFill="1" applyBorder="1" applyAlignment="1">
      <alignment horizontal="center" vertical="center"/>
    </xf>
    <xf numFmtId="0" fontId="34" fillId="2" borderId="9" xfId="0" applyFont="1" applyFill="1" applyBorder="1" applyAlignment="1">
      <alignment vertical="center" wrapText="1"/>
    </xf>
    <xf numFmtId="170" fontId="34" fillId="2" borderId="1" xfId="0" applyNumberFormat="1" applyFont="1" applyFill="1" applyBorder="1" applyAlignment="1">
      <alignment vertical="center"/>
    </xf>
    <xf numFmtId="170" fontId="37" fillId="2" borderId="8" xfId="0" applyNumberFormat="1" applyFont="1" applyFill="1" applyBorder="1" applyAlignment="1">
      <alignment vertical="center"/>
    </xf>
    <xf numFmtId="167" fontId="3" fillId="22" borderId="8" xfId="0" applyNumberFormat="1" applyFont="1" applyFill="1" applyBorder="1" applyAlignment="1">
      <alignment horizontal="center" vertical="center"/>
    </xf>
    <xf numFmtId="0" fontId="17" fillId="22" borderId="1" xfId="0" applyFont="1" applyFill="1" applyBorder="1" applyAlignment="1">
      <alignment horizontal="center" vertical="center" wrapText="1"/>
    </xf>
    <xf numFmtId="49" fontId="3" fillId="19" borderId="5" xfId="0" applyNumberFormat="1" applyFont="1" applyFill="1" applyBorder="1" applyAlignment="1">
      <alignment horizontal="center" vertical="center"/>
    </xf>
    <xf numFmtId="169" fontId="17" fillId="19" borderId="3" xfId="0" applyNumberFormat="1" applyFont="1" applyFill="1" applyBorder="1" applyAlignment="1">
      <alignment horizontal="center" vertical="center"/>
    </xf>
    <xf numFmtId="169" fontId="15" fillId="19" borderId="4" xfId="0" applyNumberFormat="1" applyFont="1" applyFill="1" applyBorder="1" applyAlignment="1">
      <alignment horizontal="center" vertical="center"/>
    </xf>
    <xf numFmtId="169" fontId="15" fillId="19" borderId="8" xfId="0" applyNumberFormat="1" applyFont="1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40" fillId="19" borderId="1" xfId="0" applyFont="1" applyFill="1" applyBorder="1" applyAlignment="1">
      <alignment horizontal="left" vertical="top" wrapText="1"/>
    </xf>
    <xf numFmtId="167" fontId="0" fillId="19" borderId="4" xfId="0" applyNumberFormat="1" applyFill="1" applyBorder="1" applyAlignment="1">
      <alignment horizontal="center" vertical="center"/>
    </xf>
    <xf numFmtId="167" fontId="0" fillId="19" borderId="5" xfId="0" applyNumberFormat="1" applyFill="1" applyBorder="1" applyAlignment="1">
      <alignment horizontal="center" vertical="center"/>
    </xf>
    <xf numFmtId="169" fontId="15" fillId="19" borderId="1" xfId="0" applyNumberFormat="1" applyFont="1" applyFill="1" applyBorder="1" applyAlignment="1">
      <alignment horizontal="center" vertical="center"/>
    </xf>
    <xf numFmtId="167" fontId="0" fillId="19" borderId="1" xfId="0" applyNumberFormat="1" applyFill="1" applyBorder="1" applyAlignment="1">
      <alignment horizontal="center" vertical="center"/>
    </xf>
    <xf numFmtId="167" fontId="0" fillId="19" borderId="8" xfId="0" applyNumberFormat="1" applyFill="1" applyBorder="1" applyAlignment="1">
      <alignment horizontal="center" vertical="center"/>
    </xf>
    <xf numFmtId="168" fontId="0" fillId="19" borderId="0" xfId="0" applyNumberForma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/>
    </xf>
    <xf numFmtId="0" fontId="15" fillId="6" borderId="1" xfId="0" applyFont="1" applyFill="1" applyBorder="1"/>
    <xf numFmtId="0" fontId="3" fillId="6" borderId="8" xfId="0" applyFont="1" applyFill="1" applyBorder="1" applyAlignment="1">
      <alignment horizontal="center" vertical="center"/>
    </xf>
    <xf numFmtId="167" fontId="3" fillId="6" borderId="5" xfId="0" applyNumberFormat="1" applyFont="1" applyFill="1" applyBorder="1" applyAlignment="1">
      <alignment horizontal="center" vertical="center"/>
    </xf>
    <xf numFmtId="167" fontId="3" fillId="6" borderId="4" xfId="0" applyNumberFormat="1" applyFont="1" applyFill="1" applyBorder="1" applyAlignment="1">
      <alignment horizontal="center" vertical="center"/>
    </xf>
    <xf numFmtId="167" fontId="1" fillId="6" borderId="5" xfId="0" applyNumberFormat="1" applyFont="1" applyFill="1" applyBorder="1" applyAlignment="1">
      <alignment horizontal="center" vertical="center"/>
    </xf>
    <xf numFmtId="164" fontId="7" fillId="6" borderId="14" xfId="0" applyNumberFormat="1" applyFont="1" applyFill="1" applyBorder="1"/>
    <xf numFmtId="167" fontId="3" fillId="6" borderId="0" xfId="0" applyNumberFormat="1" applyFont="1" applyFill="1" applyAlignment="1">
      <alignment horizontal="center" vertical="center"/>
    </xf>
    <xf numFmtId="164" fontId="7" fillId="6" borderId="26" xfId="0" applyNumberFormat="1" applyFont="1" applyFill="1" applyBorder="1"/>
    <xf numFmtId="164" fontId="0" fillId="7" borderId="12" xfId="0" applyNumberFormat="1" applyFill="1" applyBorder="1"/>
    <xf numFmtId="164" fontId="3" fillId="13" borderId="12" xfId="0" applyNumberFormat="1" applyFont="1" applyFill="1" applyBorder="1"/>
    <xf numFmtId="164" fontId="6" fillId="6" borderId="1" xfId="0" applyNumberFormat="1" applyFont="1" applyFill="1" applyBorder="1"/>
    <xf numFmtId="167" fontId="3" fillId="20" borderId="4" xfId="0" applyNumberFormat="1" applyFont="1" applyFill="1" applyBorder="1" applyAlignment="1">
      <alignment horizontal="center" vertical="center"/>
    </xf>
    <xf numFmtId="167" fontId="3" fillId="20" borderId="9" xfId="0" applyNumberFormat="1" applyFont="1" applyFill="1" applyBorder="1" applyAlignment="1">
      <alignment horizontal="center" vertical="center"/>
    </xf>
    <xf numFmtId="167" fontId="3" fillId="20" borderId="12" xfId="0" applyNumberFormat="1" applyFont="1" applyFill="1" applyBorder="1" applyAlignment="1">
      <alignment horizontal="center" vertical="center"/>
    </xf>
    <xf numFmtId="167" fontId="3" fillId="20" borderId="29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41" fillId="0" borderId="0" xfId="0" applyFont="1" applyAlignment="1">
      <alignment horizontal="center"/>
    </xf>
    <xf numFmtId="0" fontId="15" fillId="2" borderId="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/>
    </xf>
    <xf numFmtId="0" fontId="15" fillId="19" borderId="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Normal 2" xfId="2" xr:uid="{77598F99-80A8-4D21-9345-DDBF7CB969DF}"/>
  </cellStyles>
  <dxfs count="0"/>
  <tableStyles count="0" defaultTableStyle="TableStyleMedium2" defaultPivotStyle="PivotStyleLight16"/>
  <colors>
    <mruColors>
      <color rgb="FFFF9F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F85F-93FD-4F1F-ACF0-0270A2FB5D4B}">
  <sheetPr>
    <tabColor rgb="FF00B050"/>
  </sheetPr>
  <dimension ref="A1:W216"/>
  <sheetViews>
    <sheetView workbookViewId="0">
      <pane ySplit="1" topLeftCell="A107" activePane="bottomLeft" state="frozen"/>
      <selection activeCell="C1" sqref="C1"/>
      <selection pane="bottomLeft" activeCell="D158" sqref="D158"/>
    </sheetView>
  </sheetViews>
  <sheetFormatPr baseColWidth="10" defaultColWidth="8.83203125" defaultRowHeight="15" x14ac:dyDescent="0.2"/>
  <cols>
    <col min="1" max="1" width="4.6640625" style="10" customWidth="1"/>
    <col min="2" max="2" width="23.33203125" style="9" customWidth="1"/>
    <col min="3" max="3" width="9" style="8" customWidth="1"/>
    <col min="4" max="4" width="17.33203125" style="7" customWidth="1"/>
    <col min="5" max="5" width="46.5" customWidth="1"/>
    <col min="6" max="6" width="0.1640625" style="3" hidden="1" customWidth="1"/>
    <col min="7" max="7" width="0.33203125" style="6" hidden="1" customWidth="1"/>
    <col min="8" max="8" width="0.33203125" style="6" customWidth="1"/>
    <col min="9" max="9" width="0.6640625" style="5" customWidth="1"/>
    <col min="10" max="10" width="0.33203125" style="5" customWidth="1"/>
    <col min="11" max="11" width="1.5" style="5" hidden="1" customWidth="1"/>
    <col min="12" max="12" width="17.83203125" style="5" hidden="1" customWidth="1"/>
    <col min="13" max="13" width="17.83203125" style="337" customWidth="1"/>
    <col min="14" max="14" width="17.83203125" style="332" customWidth="1"/>
    <col min="15" max="15" width="17.1640625" style="475" customWidth="1"/>
    <col min="16" max="16" width="16.5" style="4" customWidth="1"/>
    <col min="17" max="17" width="14.83203125" style="4" customWidth="1"/>
    <col min="18" max="18" width="21.6640625" style="3" customWidth="1"/>
    <col min="19" max="19" width="17.6640625" style="2" customWidth="1"/>
    <col min="20" max="20" width="13.6640625" customWidth="1"/>
    <col min="21" max="21" width="8.83203125" style="1"/>
  </cols>
  <sheetData>
    <row r="1" spans="1:23" s="152" customFormat="1" ht="41.25" customHeight="1" thickBot="1" x14ac:dyDescent="0.25">
      <c r="A1" s="153" t="s">
        <v>253</v>
      </c>
      <c r="B1" s="153" t="s">
        <v>252</v>
      </c>
      <c r="C1" s="158" t="s">
        <v>251</v>
      </c>
      <c r="D1" s="157" t="s">
        <v>250</v>
      </c>
      <c r="E1" s="153" t="s">
        <v>249</v>
      </c>
      <c r="F1" s="153" t="s">
        <v>248</v>
      </c>
      <c r="G1" s="155" t="s">
        <v>247</v>
      </c>
      <c r="H1" s="155" t="s">
        <v>246</v>
      </c>
      <c r="I1" s="155" t="s">
        <v>245</v>
      </c>
      <c r="J1" s="156" t="s">
        <v>244</v>
      </c>
      <c r="K1" s="156" t="s">
        <v>243</v>
      </c>
      <c r="L1" s="292" t="s">
        <v>242</v>
      </c>
      <c r="M1" s="292" t="s">
        <v>400</v>
      </c>
      <c r="N1" s="292" t="s">
        <v>448</v>
      </c>
      <c r="O1" s="544" t="s">
        <v>473</v>
      </c>
      <c r="P1" s="154" t="s">
        <v>241</v>
      </c>
      <c r="Q1" s="310" t="s">
        <v>240</v>
      </c>
      <c r="R1" s="153" t="s">
        <v>239</v>
      </c>
      <c r="S1" s="153" t="s">
        <v>238</v>
      </c>
      <c r="T1" s="153" t="s">
        <v>237</v>
      </c>
      <c r="U1" s="152" t="s">
        <v>236</v>
      </c>
      <c r="V1" s="152" t="s">
        <v>235</v>
      </c>
      <c r="W1" s="152" t="s">
        <v>234</v>
      </c>
    </row>
    <row r="2" spans="1:23" s="557" customFormat="1" ht="20.25" customHeight="1" thickTop="1" x14ac:dyDescent="0.2">
      <c r="A2" s="548">
        <v>1</v>
      </c>
      <c r="B2" s="549" t="s">
        <v>220</v>
      </c>
      <c r="C2" s="550" t="s">
        <v>427</v>
      </c>
      <c r="D2" s="589">
        <v>10512</v>
      </c>
      <c r="E2" s="561" t="s">
        <v>418</v>
      </c>
      <c r="F2" s="548"/>
      <c r="G2" s="551"/>
      <c r="H2" s="551"/>
      <c r="I2" s="551"/>
      <c r="J2" s="552"/>
      <c r="K2" s="553"/>
      <c r="L2" s="554"/>
      <c r="M2" s="558"/>
      <c r="N2" s="558">
        <v>600000</v>
      </c>
      <c r="O2" s="559"/>
      <c r="P2" s="724" t="s">
        <v>501</v>
      </c>
      <c r="Q2" s="555"/>
      <c r="R2" s="548" t="s">
        <v>500</v>
      </c>
      <c r="S2" s="556">
        <f>SUM(L2)</f>
        <v>0</v>
      </c>
      <c r="V2" s="557" t="str">
        <f>"1"&amp;D2</f>
        <v>110512</v>
      </c>
      <c r="W2" s="557" t="str">
        <f>"2"&amp;D2</f>
        <v>210512</v>
      </c>
    </row>
    <row r="3" spans="1:23" s="557" customFormat="1" ht="20.25" customHeight="1" x14ac:dyDescent="0.2">
      <c r="A3" s="548">
        <v>2</v>
      </c>
      <c r="B3" s="549" t="s">
        <v>220</v>
      </c>
      <c r="C3" s="550" t="s">
        <v>427</v>
      </c>
      <c r="D3" s="618">
        <v>10528</v>
      </c>
      <c r="E3" s="619" t="s">
        <v>492</v>
      </c>
      <c r="F3" s="548"/>
      <c r="G3" s="551"/>
      <c r="H3" s="551"/>
      <c r="I3" s="551"/>
      <c r="J3" s="552"/>
      <c r="K3" s="620"/>
      <c r="L3" s="554"/>
      <c r="M3" s="621"/>
      <c r="N3" s="621">
        <v>600000</v>
      </c>
      <c r="O3" s="622"/>
      <c r="P3" s="722"/>
      <c r="Q3" s="555"/>
      <c r="R3" s="548" t="s">
        <v>500</v>
      </c>
      <c r="S3" s="556"/>
    </row>
    <row r="4" spans="1:23" s="34" customFormat="1" ht="20.25" customHeight="1" x14ac:dyDescent="0.2">
      <c r="A4" s="80">
        <v>3</v>
      </c>
      <c r="B4" s="30" t="s">
        <v>220</v>
      </c>
      <c r="C4" s="151" t="s">
        <v>427</v>
      </c>
      <c r="D4" s="728">
        <v>10529</v>
      </c>
      <c r="E4" s="237" t="s">
        <v>509</v>
      </c>
      <c r="F4" s="172"/>
      <c r="G4" s="82"/>
      <c r="H4" s="82"/>
      <c r="I4" s="82"/>
      <c r="J4" s="82"/>
      <c r="K4" s="238"/>
      <c r="L4" s="238"/>
      <c r="M4" s="336"/>
      <c r="N4" s="336">
        <v>600000</v>
      </c>
      <c r="O4" s="626"/>
      <c r="P4" s="723"/>
      <c r="Q4" s="81"/>
      <c r="R4" s="568" t="s">
        <v>507</v>
      </c>
      <c r="S4" s="23"/>
    </row>
    <row r="5" spans="1:23" s="38" customFormat="1" ht="20.25" customHeight="1" x14ac:dyDescent="0.2">
      <c r="A5" s="80"/>
      <c r="B5" s="39"/>
      <c r="C5" s="151"/>
      <c r="D5" s="623"/>
      <c r="E5" s="304"/>
      <c r="F5" s="624"/>
      <c r="G5" s="625"/>
      <c r="H5" s="625"/>
      <c r="I5" s="166"/>
      <c r="J5" s="171"/>
      <c r="K5" s="113"/>
      <c r="L5" s="233"/>
      <c r="M5" s="333"/>
      <c r="N5" s="644"/>
      <c r="O5" s="645"/>
      <c r="P5" s="81"/>
      <c r="Q5" s="81"/>
      <c r="R5" s="127"/>
      <c r="S5" s="23"/>
      <c r="V5" s="34"/>
      <c r="W5" s="34"/>
    </row>
    <row r="6" spans="1:23" s="13" customFormat="1" ht="20.25" customHeight="1" x14ac:dyDescent="0.2">
      <c r="A6" s="70"/>
      <c r="B6" s="70"/>
      <c r="C6" s="78"/>
      <c r="D6" s="590"/>
      <c r="E6" s="124"/>
      <c r="F6" s="70"/>
      <c r="G6" s="123"/>
      <c r="H6" s="123"/>
      <c r="I6" s="123"/>
      <c r="J6" s="75"/>
      <c r="K6" s="150"/>
      <c r="L6" s="122"/>
      <c r="M6" s="280"/>
      <c r="N6" s="320"/>
      <c r="O6" s="458"/>
      <c r="P6" s="71"/>
      <c r="Q6" s="71"/>
      <c r="R6" s="70"/>
    </row>
    <row r="7" spans="1:23" s="557" customFormat="1" ht="20.25" customHeight="1" x14ac:dyDescent="0.2">
      <c r="A7" s="548">
        <v>1</v>
      </c>
      <c r="B7" s="549" t="s">
        <v>220</v>
      </c>
      <c r="C7" s="694" t="s">
        <v>229</v>
      </c>
      <c r="D7" s="618">
        <v>10530</v>
      </c>
      <c r="E7" s="561" t="s">
        <v>493</v>
      </c>
      <c r="F7" s="548"/>
      <c r="G7" s="551"/>
      <c r="H7" s="551"/>
      <c r="I7" s="551"/>
      <c r="J7" s="552"/>
      <c r="K7" s="553"/>
      <c r="L7" s="695"/>
      <c r="M7" s="696"/>
      <c r="N7" s="697">
        <v>600000</v>
      </c>
      <c r="O7" s="697"/>
      <c r="P7" s="721" t="s">
        <v>501</v>
      </c>
      <c r="Q7" s="555"/>
      <c r="R7" s="548" t="s">
        <v>500</v>
      </c>
      <c r="S7" s="556">
        <f t="shared" ref="S7:S17" si="0">SUM(L7)</f>
        <v>0</v>
      </c>
      <c r="V7" s="557" t="str">
        <f t="shared" ref="V7:V18" si="1">"1"&amp;D7</f>
        <v>110530</v>
      </c>
      <c r="W7" s="557" t="str">
        <f t="shared" ref="W7:W18" si="2">"2"&amp;D7</f>
        <v>210530</v>
      </c>
    </row>
    <row r="8" spans="1:23" s="38" customFormat="1" ht="20.25" customHeight="1" x14ac:dyDescent="0.2">
      <c r="A8" s="80">
        <v>2</v>
      </c>
      <c r="B8" s="39" t="s">
        <v>220</v>
      </c>
      <c r="C8" s="132" t="s">
        <v>229</v>
      </c>
      <c r="D8" s="728">
        <v>10531</v>
      </c>
      <c r="E8" s="546" t="s">
        <v>494</v>
      </c>
      <c r="F8" s="127"/>
      <c r="G8" s="129"/>
      <c r="H8" s="129"/>
      <c r="I8" s="128"/>
      <c r="J8" s="84"/>
      <c r="K8" s="120"/>
      <c r="L8" s="290"/>
      <c r="M8" s="334"/>
      <c r="N8" s="321">
        <v>650000</v>
      </c>
      <c r="O8" s="406"/>
      <c r="P8" s="722"/>
      <c r="Q8" s="81"/>
      <c r="R8" s="568" t="s">
        <v>507</v>
      </c>
      <c r="S8" s="23">
        <f t="shared" si="0"/>
        <v>0</v>
      </c>
      <c r="V8" s="34" t="str">
        <f t="shared" si="1"/>
        <v>110531</v>
      </c>
      <c r="W8" s="34" t="str">
        <f t="shared" si="2"/>
        <v>210531</v>
      </c>
    </row>
    <row r="9" spans="1:23" s="38" customFormat="1" ht="20.25" customHeight="1" x14ac:dyDescent="0.2">
      <c r="A9" s="80">
        <v>3</v>
      </c>
      <c r="B9" s="39" t="s">
        <v>220</v>
      </c>
      <c r="C9" s="132" t="s">
        <v>229</v>
      </c>
      <c r="D9" s="728">
        <v>10532</v>
      </c>
      <c r="E9" s="546" t="s">
        <v>495</v>
      </c>
      <c r="F9" s="127"/>
      <c r="G9" s="129"/>
      <c r="H9" s="129"/>
      <c r="I9" s="128"/>
      <c r="J9" s="84"/>
      <c r="K9" s="120"/>
      <c r="L9" s="290"/>
      <c r="M9" s="334"/>
      <c r="N9" s="321">
        <v>650000</v>
      </c>
      <c r="O9" s="406"/>
      <c r="P9" s="723"/>
      <c r="Q9" s="81"/>
      <c r="R9" s="568" t="s">
        <v>507</v>
      </c>
      <c r="S9" s="23">
        <f t="shared" si="0"/>
        <v>0</v>
      </c>
      <c r="V9" s="34" t="str">
        <f t="shared" si="1"/>
        <v>110532</v>
      </c>
      <c r="W9" s="34" t="str">
        <f t="shared" si="2"/>
        <v>210532</v>
      </c>
    </row>
    <row r="10" spans="1:23" s="38" customFormat="1" ht="20.25" customHeight="1" x14ac:dyDescent="0.2">
      <c r="A10" s="80">
        <v>4</v>
      </c>
      <c r="B10" s="39" t="s">
        <v>220</v>
      </c>
      <c r="C10" s="547" t="s">
        <v>229</v>
      </c>
      <c r="D10" s="591">
        <v>10513</v>
      </c>
      <c r="E10" s="546" t="s">
        <v>419</v>
      </c>
      <c r="F10" s="127"/>
      <c r="G10" s="129"/>
      <c r="H10" s="129"/>
      <c r="I10" s="128"/>
      <c r="J10" s="84"/>
      <c r="K10" s="120"/>
      <c r="L10" s="290"/>
      <c r="M10" s="334"/>
      <c r="N10" s="321">
        <v>650000</v>
      </c>
      <c r="O10" s="406"/>
      <c r="P10" s="81"/>
      <c r="Q10" s="81"/>
      <c r="R10" s="569"/>
      <c r="S10" s="23">
        <f t="shared" si="0"/>
        <v>0</v>
      </c>
      <c r="V10" s="34" t="str">
        <f t="shared" si="1"/>
        <v>110513</v>
      </c>
      <c r="W10" s="34" t="str">
        <f t="shared" si="2"/>
        <v>210513</v>
      </c>
    </row>
    <row r="11" spans="1:23" s="38" customFormat="1" ht="20.25" customHeight="1" x14ac:dyDescent="0.2">
      <c r="A11" s="80">
        <v>5</v>
      </c>
      <c r="B11" s="39" t="s">
        <v>220</v>
      </c>
      <c r="C11" s="132" t="s">
        <v>229</v>
      </c>
      <c r="D11" s="728">
        <v>10533</v>
      </c>
      <c r="E11" s="546" t="s">
        <v>496</v>
      </c>
      <c r="F11" s="127"/>
      <c r="G11" s="129"/>
      <c r="H11" s="129"/>
      <c r="I11" s="128"/>
      <c r="J11" s="84"/>
      <c r="K11" s="120"/>
      <c r="L11" s="290"/>
      <c r="M11" s="334"/>
      <c r="N11" s="321">
        <v>650000</v>
      </c>
      <c r="O11" s="406"/>
      <c r="P11" s="562" t="s">
        <v>501</v>
      </c>
      <c r="Q11" s="81"/>
      <c r="R11" s="568" t="s">
        <v>507</v>
      </c>
      <c r="S11" s="23">
        <f t="shared" si="0"/>
        <v>0</v>
      </c>
      <c r="V11" s="34" t="str">
        <f t="shared" si="1"/>
        <v>110533</v>
      </c>
      <c r="W11" s="34" t="str">
        <f t="shared" si="2"/>
        <v>210533</v>
      </c>
    </row>
    <row r="12" spans="1:23" s="38" customFormat="1" ht="20.25" customHeight="1" x14ac:dyDescent="0.2">
      <c r="A12" s="80">
        <v>6</v>
      </c>
      <c r="B12" s="39" t="s">
        <v>220</v>
      </c>
      <c r="C12" s="132" t="s">
        <v>229</v>
      </c>
      <c r="D12" s="591">
        <v>10519</v>
      </c>
      <c r="E12" s="546" t="s">
        <v>423</v>
      </c>
      <c r="F12" s="127"/>
      <c r="G12" s="129"/>
      <c r="H12" s="129"/>
      <c r="I12" s="128"/>
      <c r="J12" s="84"/>
      <c r="K12" s="120"/>
      <c r="L12" s="290"/>
      <c r="M12" s="334"/>
      <c r="N12" s="321">
        <v>650000</v>
      </c>
      <c r="O12" s="406"/>
      <c r="P12" s="81"/>
      <c r="Q12" s="81"/>
      <c r="R12" s="569"/>
      <c r="S12" s="23">
        <f t="shared" si="0"/>
        <v>0</v>
      </c>
      <c r="V12" s="34" t="str">
        <f t="shared" si="1"/>
        <v>110519</v>
      </c>
      <c r="W12" s="34" t="str">
        <f t="shared" si="2"/>
        <v>210519</v>
      </c>
    </row>
    <row r="13" spans="1:23" s="38" customFormat="1" ht="20.25" customHeight="1" x14ac:dyDescent="0.2">
      <c r="A13" s="80">
        <v>7</v>
      </c>
      <c r="B13" s="39" t="s">
        <v>220</v>
      </c>
      <c r="C13" s="132" t="s">
        <v>229</v>
      </c>
      <c r="D13" s="591">
        <v>10534</v>
      </c>
      <c r="E13" s="546" t="s">
        <v>497</v>
      </c>
      <c r="F13" s="127"/>
      <c r="G13" s="129"/>
      <c r="H13" s="129"/>
      <c r="I13" s="128"/>
      <c r="J13" s="84"/>
      <c r="K13" s="120"/>
      <c r="L13" s="290"/>
      <c r="M13" s="334"/>
      <c r="N13" s="321">
        <v>650000</v>
      </c>
      <c r="O13" s="406"/>
      <c r="P13" s="81"/>
      <c r="Q13" s="81"/>
      <c r="R13" s="569"/>
      <c r="S13" s="23">
        <f t="shared" si="0"/>
        <v>0</v>
      </c>
      <c r="V13" s="34" t="str">
        <f t="shared" si="1"/>
        <v>110534</v>
      </c>
      <c r="W13" s="34" t="str">
        <f t="shared" si="2"/>
        <v>210534</v>
      </c>
    </row>
    <row r="14" spans="1:23" s="38" customFormat="1" ht="20.25" customHeight="1" x14ac:dyDescent="0.2">
      <c r="A14" s="80">
        <v>8</v>
      </c>
      <c r="B14" s="39" t="s">
        <v>220</v>
      </c>
      <c r="C14" s="132" t="s">
        <v>229</v>
      </c>
      <c r="D14" s="591">
        <v>10535</v>
      </c>
      <c r="E14" s="546" t="s">
        <v>498</v>
      </c>
      <c r="F14" s="127"/>
      <c r="G14" s="129"/>
      <c r="H14" s="129"/>
      <c r="I14" s="128"/>
      <c r="J14" s="84"/>
      <c r="K14" s="120"/>
      <c r="L14" s="290"/>
      <c r="M14" s="334"/>
      <c r="N14" s="321">
        <v>650000</v>
      </c>
      <c r="O14" s="406"/>
      <c r="P14" s="562" t="s">
        <v>501</v>
      </c>
      <c r="Q14" s="81"/>
      <c r="R14" s="568" t="s">
        <v>507</v>
      </c>
      <c r="S14" s="23">
        <f t="shared" si="0"/>
        <v>0</v>
      </c>
      <c r="V14" s="34" t="str">
        <f t="shared" si="1"/>
        <v>110535</v>
      </c>
      <c r="W14" s="34" t="str">
        <f t="shared" si="2"/>
        <v>210535</v>
      </c>
    </row>
    <row r="15" spans="1:23" s="38" customFormat="1" ht="20.25" customHeight="1" x14ac:dyDescent="0.2">
      <c r="A15" s="80">
        <v>9</v>
      </c>
      <c r="B15" s="39" t="s">
        <v>220</v>
      </c>
      <c r="C15" s="132" t="s">
        <v>229</v>
      </c>
      <c r="D15" s="591">
        <v>10527</v>
      </c>
      <c r="E15" s="546" t="s">
        <v>499</v>
      </c>
      <c r="F15" s="127"/>
      <c r="G15" s="129"/>
      <c r="H15" s="129"/>
      <c r="I15" s="128"/>
      <c r="J15" s="84"/>
      <c r="K15" s="120"/>
      <c r="L15" s="290"/>
      <c r="M15" s="334"/>
      <c r="N15" s="321">
        <v>650000</v>
      </c>
      <c r="O15" s="406"/>
      <c r="P15" s="81"/>
      <c r="Q15" s="81"/>
      <c r="R15" s="567"/>
      <c r="S15" s="23">
        <f t="shared" si="0"/>
        <v>0</v>
      </c>
      <c r="V15" s="34" t="str">
        <f t="shared" si="1"/>
        <v>110527</v>
      </c>
      <c r="W15" s="34" t="str">
        <f t="shared" si="2"/>
        <v>210527</v>
      </c>
    </row>
    <row r="16" spans="1:23" s="38" customFormat="1" ht="20.25" customHeight="1" x14ac:dyDescent="0.2">
      <c r="A16" s="80">
        <v>10</v>
      </c>
      <c r="B16" s="39" t="s">
        <v>220</v>
      </c>
      <c r="C16" s="132" t="s">
        <v>229</v>
      </c>
      <c r="D16" s="729">
        <v>10536</v>
      </c>
      <c r="E16" s="368" t="s">
        <v>511</v>
      </c>
      <c r="F16" s="365"/>
      <c r="G16" s="129"/>
      <c r="H16" s="129"/>
      <c r="I16" s="128"/>
      <c r="J16" s="84"/>
      <c r="K16" s="120"/>
      <c r="L16" s="290"/>
      <c r="M16" s="334"/>
      <c r="N16" s="321">
        <v>475000</v>
      </c>
      <c r="O16" s="406"/>
      <c r="P16" s="562" t="s">
        <v>501</v>
      </c>
      <c r="Q16" s="81"/>
      <c r="R16" s="568" t="s">
        <v>507</v>
      </c>
      <c r="S16" s="23">
        <f t="shared" si="0"/>
        <v>0</v>
      </c>
      <c r="V16" s="34" t="str">
        <f t="shared" si="1"/>
        <v>110536</v>
      </c>
      <c r="W16" s="34" t="str">
        <f t="shared" si="2"/>
        <v>210536</v>
      </c>
    </row>
    <row r="17" spans="1:23" s="706" customFormat="1" ht="20.25" customHeight="1" x14ac:dyDescent="0.2">
      <c r="A17" s="698">
        <v>11</v>
      </c>
      <c r="B17" s="549" t="s">
        <v>220</v>
      </c>
      <c r="C17" s="550" t="s">
        <v>229</v>
      </c>
      <c r="D17" s="730">
        <v>10537</v>
      </c>
      <c r="E17" s="699" t="s">
        <v>513</v>
      </c>
      <c r="F17" s="698"/>
      <c r="G17" s="700"/>
      <c r="H17" s="700"/>
      <c r="I17" s="700"/>
      <c r="J17" s="701"/>
      <c r="K17" s="553"/>
      <c r="L17" s="695"/>
      <c r="M17" s="702"/>
      <c r="N17" s="702">
        <v>650000</v>
      </c>
      <c r="O17" s="702"/>
      <c r="P17" s="703" t="s">
        <v>501</v>
      </c>
      <c r="Q17" s="704"/>
      <c r="R17" s="548" t="s">
        <v>500</v>
      </c>
      <c r="S17" s="705">
        <f t="shared" si="0"/>
        <v>0</v>
      </c>
      <c r="V17" s="706" t="str">
        <f t="shared" si="1"/>
        <v>110537</v>
      </c>
      <c r="W17" s="706" t="str">
        <f t="shared" si="2"/>
        <v>210537</v>
      </c>
    </row>
    <row r="18" spans="1:23" s="38" customFormat="1" ht="20.25" customHeight="1" x14ac:dyDescent="0.2">
      <c r="A18" s="80"/>
      <c r="B18" s="39"/>
      <c r="C18" s="132"/>
      <c r="D18" s="592"/>
      <c r="E18" s="130"/>
      <c r="F18" s="127"/>
      <c r="G18" s="129"/>
      <c r="H18" s="129"/>
      <c r="I18" s="128"/>
      <c r="J18" s="84"/>
      <c r="K18" s="120"/>
      <c r="L18" s="233"/>
      <c r="M18" s="333"/>
      <c r="N18" s="319"/>
      <c r="O18" s="457"/>
      <c r="P18" s="688"/>
      <c r="Q18" s="81"/>
      <c r="R18" s="127"/>
      <c r="S18" s="34"/>
      <c r="V18" s="34" t="str">
        <f t="shared" si="1"/>
        <v>1</v>
      </c>
      <c r="W18" s="34" t="str">
        <f t="shared" si="2"/>
        <v>2</v>
      </c>
    </row>
    <row r="19" spans="1:23" s="142" customFormat="1" ht="20.25" customHeight="1" x14ac:dyDescent="0.2">
      <c r="A19" s="143"/>
      <c r="B19" s="149"/>
      <c r="C19" s="148"/>
      <c r="D19" s="593"/>
      <c r="E19" s="147"/>
      <c r="F19" s="143"/>
      <c r="G19" s="129"/>
      <c r="H19" s="129"/>
      <c r="I19" s="129"/>
      <c r="J19" s="146"/>
      <c r="K19" s="145"/>
      <c r="L19" s="122"/>
      <c r="M19" s="318"/>
      <c r="N19" s="318"/>
      <c r="O19" s="459"/>
      <c r="P19" s="144"/>
      <c r="Q19" s="144"/>
      <c r="R19" s="143"/>
    </row>
    <row r="20" spans="1:23" s="38" customFormat="1" ht="20.25" customHeight="1" x14ac:dyDescent="0.2">
      <c r="A20" s="80">
        <v>1</v>
      </c>
      <c r="B20" s="39" t="s">
        <v>220</v>
      </c>
      <c r="C20" s="132" t="s">
        <v>219</v>
      </c>
      <c r="D20" s="591">
        <v>10514</v>
      </c>
      <c r="E20" s="560" t="s">
        <v>420</v>
      </c>
      <c r="F20" s="127"/>
      <c r="G20" s="129"/>
      <c r="H20" s="129"/>
      <c r="I20" s="128"/>
      <c r="J20" s="84"/>
      <c r="K20" s="120"/>
      <c r="L20" s="290"/>
      <c r="M20" s="334"/>
      <c r="N20" s="321">
        <v>650000</v>
      </c>
      <c r="O20" s="406"/>
      <c r="P20" s="81"/>
      <c r="Q20" s="81"/>
      <c r="R20" s="569"/>
      <c r="S20" s="23">
        <f t="shared" ref="S20:S32" si="3">SUM(L20)</f>
        <v>0</v>
      </c>
      <c r="V20" s="34" t="str">
        <f t="shared" ref="V20:V32" si="4">"1"&amp;D20</f>
        <v>110514</v>
      </c>
      <c r="W20" s="34" t="str">
        <f t="shared" ref="W20:W32" si="5">"2"&amp;D20</f>
        <v>210514</v>
      </c>
    </row>
    <row r="21" spans="1:23" s="38" customFormat="1" ht="20.25" customHeight="1" x14ac:dyDescent="0.2">
      <c r="A21" s="80">
        <v>2</v>
      </c>
      <c r="B21" s="39" t="s">
        <v>220</v>
      </c>
      <c r="C21" s="132" t="s">
        <v>219</v>
      </c>
      <c r="D21" s="728">
        <v>10538</v>
      </c>
      <c r="E21" s="560" t="s">
        <v>502</v>
      </c>
      <c r="F21" s="127"/>
      <c r="G21" s="129"/>
      <c r="H21" s="129"/>
      <c r="I21" s="128"/>
      <c r="J21" s="84"/>
      <c r="K21" s="120"/>
      <c r="L21" s="290"/>
      <c r="M21" s="334"/>
      <c r="N21" s="321">
        <v>650000</v>
      </c>
      <c r="O21" s="406"/>
      <c r="P21" s="562" t="s">
        <v>501</v>
      </c>
      <c r="Q21" s="81"/>
      <c r="R21" s="569"/>
      <c r="S21" s="23">
        <f t="shared" si="3"/>
        <v>0</v>
      </c>
      <c r="V21" s="34" t="str">
        <f t="shared" si="4"/>
        <v>110538</v>
      </c>
      <c r="W21" s="34" t="str">
        <f t="shared" si="5"/>
        <v>210538</v>
      </c>
    </row>
    <row r="22" spans="1:23" s="38" customFormat="1" ht="20.25" customHeight="1" x14ac:dyDescent="0.2">
      <c r="A22" s="80">
        <v>3</v>
      </c>
      <c r="B22" s="39" t="s">
        <v>220</v>
      </c>
      <c r="C22" s="132" t="s">
        <v>219</v>
      </c>
      <c r="D22" s="591">
        <v>10526</v>
      </c>
      <c r="E22" s="560" t="s">
        <v>429</v>
      </c>
      <c r="F22" s="127"/>
      <c r="G22" s="129"/>
      <c r="H22" s="129"/>
      <c r="I22" s="128"/>
      <c r="J22" s="84"/>
      <c r="K22" s="120"/>
      <c r="L22" s="290"/>
      <c r="M22" s="334"/>
      <c r="N22" s="321">
        <v>650000</v>
      </c>
      <c r="O22" s="406"/>
      <c r="P22" s="81"/>
      <c r="Q22" s="81"/>
      <c r="R22" s="570"/>
      <c r="S22" s="23">
        <f t="shared" si="3"/>
        <v>0</v>
      </c>
      <c r="V22" s="34" t="str">
        <f t="shared" si="4"/>
        <v>110526</v>
      </c>
      <c r="W22" s="34" t="str">
        <f t="shared" si="5"/>
        <v>210526</v>
      </c>
    </row>
    <row r="23" spans="1:23" s="38" customFormat="1" ht="20.25" customHeight="1" x14ac:dyDescent="0.2">
      <c r="A23" s="80">
        <v>4</v>
      </c>
      <c r="B23" s="39" t="s">
        <v>220</v>
      </c>
      <c r="C23" s="132" t="s">
        <v>219</v>
      </c>
      <c r="D23" s="594">
        <v>10539</v>
      </c>
      <c r="E23" s="560" t="s">
        <v>503</v>
      </c>
      <c r="F23" s="127"/>
      <c r="G23" s="129"/>
      <c r="H23" s="129"/>
      <c r="I23" s="128"/>
      <c r="J23" s="84"/>
      <c r="K23" s="120"/>
      <c r="L23" s="290"/>
      <c r="M23" s="334"/>
      <c r="N23" s="321">
        <v>650000</v>
      </c>
      <c r="O23" s="406"/>
      <c r="P23" s="81"/>
      <c r="Q23" s="81"/>
      <c r="R23" s="570"/>
      <c r="S23" s="23">
        <f t="shared" si="3"/>
        <v>0</v>
      </c>
      <c r="V23" s="34" t="str">
        <f t="shared" si="4"/>
        <v>110539</v>
      </c>
      <c r="W23" s="34" t="str">
        <f t="shared" si="5"/>
        <v>210539</v>
      </c>
    </row>
    <row r="24" spans="1:23" s="137" customFormat="1" ht="20.25" customHeight="1" x14ac:dyDescent="0.2">
      <c r="A24" s="80">
        <v>5</v>
      </c>
      <c r="B24" s="30" t="s">
        <v>220</v>
      </c>
      <c r="C24" s="87" t="s">
        <v>219</v>
      </c>
      <c r="D24" s="591">
        <v>10515</v>
      </c>
      <c r="E24" s="560" t="s">
        <v>504</v>
      </c>
      <c r="F24" s="80"/>
      <c r="G24" s="128"/>
      <c r="H24" s="128"/>
      <c r="I24" s="128"/>
      <c r="J24" s="84"/>
      <c r="K24" s="120"/>
      <c r="L24" s="290"/>
      <c r="M24" s="334"/>
      <c r="N24" s="321">
        <v>650000</v>
      </c>
      <c r="O24" s="406"/>
      <c r="P24" s="81"/>
      <c r="Q24" s="81"/>
      <c r="R24" s="570"/>
      <c r="S24" s="138"/>
      <c r="V24" s="34" t="str">
        <f t="shared" si="4"/>
        <v>110515</v>
      </c>
      <c r="W24" s="34" t="str">
        <f t="shared" si="5"/>
        <v>210515</v>
      </c>
    </row>
    <row r="25" spans="1:23" s="38" customFormat="1" ht="20.25" customHeight="1" x14ac:dyDescent="0.2">
      <c r="A25" s="80">
        <v>6</v>
      </c>
      <c r="B25" s="39" t="s">
        <v>220</v>
      </c>
      <c r="C25" s="132" t="s">
        <v>219</v>
      </c>
      <c r="D25" s="591">
        <v>10516</v>
      </c>
      <c r="E25" s="560" t="s">
        <v>421</v>
      </c>
      <c r="F25" s="127"/>
      <c r="G25" s="129"/>
      <c r="H25" s="129"/>
      <c r="I25" s="128"/>
      <c r="J25" s="84"/>
      <c r="K25" s="120"/>
      <c r="L25" s="290"/>
      <c r="M25" s="334"/>
      <c r="N25" s="321">
        <v>650000</v>
      </c>
      <c r="O25" s="406"/>
      <c r="P25" s="81"/>
      <c r="Q25" s="81"/>
      <c r="R25" s="570"/>
      <c r="S25" s="23"/>
      <c r="V25" s="34" t="str">
        <f t="shared" si="4"/>
        <v>110516</v>
      </c>
      <c r="W25" s="34" t="str">
        <f t="shared" si="5"/>
        <v>210516</v>
      </c>
    </row>
    <row r="26" spans="1:23" s="38" customFormat="1" ht="20.25" customHeight="1" x14ac:dyDescent="0.2">
      <c r="A26" s="80">
        <v>7</v>
      </c>
      <c r="B26" s="39" t="s">
        <v>220</v>
      </c>
      <c r="C26" s="132" t="s">
        <v>219</v>
      </c>
      <c r="D26" s="594">
        <v>10540</v>
      </c>
      <c r="E26" s="546" t="s">
        <v>505</v>
      </c>
      <c r="F26" s="127"/>
      <c r="G26" s="129"/>
      <c r="H26" s="129"/>
      <c r="I26" s="128"/>
      <c r="J26" s="84"/>
      <c r="K26" s="120"/>
      <c r="L26" s="290"/>
      <c r="M26" s="334"/>
      <c r="N26" s="321">
        <v>650000</v>
      </c>
      <c r="O26" s="406"/>
      <c r="P26" s="562" t="s">
        <v>501</v>
      </c>
      <c r="Q26" s="81"/>
      <c r="R26" s="568" t="s">
        <v>507</v>
      </c>
      <c r="S26" s="23">
        <f t="shared" si="3"/>
        <v>0</v>
      </c>
      <c r="V26" s="34" t="str">
        <f t="shared" si="4"/>
        <v>110540</v>
      </c>
      <c r="W26" s="34" t="str">
        <f t="shared" si="5"/>
        <v>210540</v>
      </c>
    </row>
    <row r="27" spans="1:23" s="38" customFormat="1" ht="20.25" customHeight="1" x14ac:dyDescent="0.2">
      <c r="A27" s="80">
        <v>8</v>
      </c>
      <c r="B27" s="39" t="s">
        <v>220</v>
      </c>
      <c r="C27" s="132" t="s">
        <v>219</v>
      </c>
      <c r="D27" s="591">
        <v>10517</v>
      </c>
      <c r="E27" s="560" t="s">
        <v>422</v>
      </c>
      <c r="F27" s="127"/>
      <c r="G27" s="129"/>
      <c r="H27" s="129"/>
      <c r="I27" s="128"/>
      <c r="J27" s="84"/>
      <c r="K27" s="120"/>
      <c r="L27" s="290"/>
      <c r="M27" s="334"/>
      <c r="N27" s="321">
        <v>650000</v>
      </c>
      <c r="O27" s="406"/>
      <c r="P27" s="81"/>
      <c r="Q27" s="81"/>
      <c r="R27" s="570"/>
      <c r="S27" s="23">
        <f t="shared" si="3"/>
        <v>0</v>
      </c>
      <c r="V27" s="34" t="str">
        <f t="shared" si="4"/>
        <v>110517</v>
      </c>
      <c r="W27" s="34" t="str">
        <f t="shared" si="5"/>
        <v>210517</v>
      </c>
    </row>
    <row r="28" spans="1:23" s="38" customFormat="1" ht="20.25" customHeight="1" x14ac:dyDescent="0.2">
      <c r="A28" s="80">
        <v>9</v>
      </c>
      <c r="B28" s="39" t="s">
        <v>220</v>
      </c>
      <c r="C28" s="132" t="s">
        <v>219</v>
      </c>
      <c r="D28" s="594">
        <v>10541</v>
      </c>
      <c r="E28" s="546" t="s">
        <v>506</v>
      </c>
      <c r="F28" s="127"/>
      <c r="G28" s="129"/>
      <c r="H28" s="129"/>
      <c r="I28" s="128"/>
      <c r="J28" s="84"/>
      <c r="K28" s="120"/>
      <c r="L28" s="290"/>
      <c r="M28" s="334"/>
      <c r="N28" s="321">
        <v>650000</v>
      </c>
      <c r="O28" s="406"/>
      <c r="P28" s="562" t="s">
        <v>501</v>
      </c>
      <c r="Q28" s="81"/>
      <c r="R28" s="568" t="s">
        <v>507</v>
      </c>
      <c r="S28" s="23">
        <f t="shared" si="3"/>
        <v>0</v>
      </c>
      <c r="V28" s="34" t="str">
        <f t="shared" si="4"/>
        <v>110541</v>
      </c>
      <c r="W28" s="34" t="str">
        <f t="shared" si="5"/>
        <v>210541</v>
      </c>
    </row>
    <row r="29" spans="1:23" s="38" customFormat="1" ht="20.25" customHeight="1" x14ac:dyDescent="0.2">
      <c r="A29" s="80">
        <v>10</v>
      </c>
      <c r="B29" s="39" t="s">
        <v>220</v>
      </c>
      <c r="C29" s="132" t="s">
        <v>219</v>
      </c>
      <c r="D29" s="591">
        <v>10483</v>
      </c>
      <c r="E29" s="560" t="s">
        <v>233</v>
      </c>
      <c r="F29" s="127"/>
      <c r="G29" s="129"/>
      <c r="H29" s="129"/>
      <c r="I29" s="128"/>
      <c r="J29" s="84"/>
      <c r="K29" s="120"/>
      <c r="L29" s="290"/>
      <c r="M29" s="334"/>
      <c r="N29" s="321">
        <v>650000</v>
      </c>
      <c r="O29" s="406"/>
      <c r="P29" s="81"/>
      <c r="Q29" s="81"/>
      <c r="R29" s="570"/>
      <c r="S29" s="23">
        <f t="shared" si="3"/>
        <v>0</v>
      </c>
      <c r="V29" s="34" t="str">
        <f t="shared" si="4"/>
        <v>110483</v>
      </c>
      <c r="W29" s="34" t="str">
        <f t="shared" si="5"/>
        <v>210483</v>
      </c>
    </row>
    <row r="30" spans="1:23" s="137" customFormat="1" ht="20.25" customHeight="1" x14ac:dyDescent="0.2">
      <c r="A30" s="80">
        <v>11</v>
      </c>
      <c r="B30" s="30" t="s">
        <v>220</v>
      </c>
      <c r="C30" s="87" t="s">
        <v>219</v>
      </c>
      <c r="D30" s="591">
        <v>10520</v>
      </c>
      <c r="E30" s="560" t="s">
        <v>424</v>
      </c>
      <c r="F30" s="139"/>
      <c r="G30" s="141"/>
      <c r="H30" s="128"/>
      <c r="I30" s="128"/>
      <c r="J30" s="140"/>
      <c r="K30" s="120"/>
      <c r="L30" s="290"/>
      <c r="M30" s="334"/>
      <c r="N30" s="321">
        <v>650000</v>
      </c>
      <c r="O30" s="406"/>
      <c r="P30" s="81"/>
      <c r="Q30" s="81"/>
      <c r="R30" s="570"/>
      <c r="S30" s="23">
        <f t="shared" si="3"/>
        <v>0</v>
      </c>
      <c r="V30" s="34" t="str">
        <f t="shared" si="4"/>
        <v>110520</v>
      </c>
      <c r="W30" s="34" t="str">
        <f t="shared" si="5"/>
        <v>210520</v>
      </c>
    </row>
    <row r="31" spans="1:23" s="38" customFormat="1" ht="20.25" customHeight="1" x14ac:dyDescent="0.2">
      <c r="A31" s="80">
        <v>12</v>
      </c>
      <c r="B31" s="30" t="s">
        <v>220</v>
      </c>
      <c r="C31" s="87" t="s">
        <v>219</v>
      </c>
      <c r="D31" s="297">
        <v>10542</v>
      </c>
      <c r="E31" s="646" t="s">
        <v>512</v>
      </c>
      <c r="F31" s="127"/>
      <c r="G31" s="129"/>
      <c r="H31" s="128"/>
      <c r="I31" s="128"/>
      <c r="J31" s="84"/>
      <c r="K31" s="120"/>
      <c r="L31" s="290"/>
      <c r="M31" s="334"/>
      <c r="N31" s="321">
        <v>650000</v>
      </c>
      <c r="O31" s="406"/>
      <c r="P31" s="562" t="s">
        <v>501</v>
      </c>
      <c r="Q31" s="81"/>
      <c r="R31" s="80"/>
      <c r="S31" s="23">
        <f t="shared" si="3"/>
        <v>0</v>
      </c>
      <c r="V31" s="34" t="str">
        <f t="shared" si="4"/>
        <v>110542</v>
      </c>
      <c r="W31" s="34" t="str">
        <f t="shared" si="5"/>
        <v>210542</v>
      </c>
    </row>
    <row r="32" spans="1:23" s="38" customFormat="1" ht="20.25" customHeight="1" x14ac:dyDescent="0.2">
      <c r="A32" s="80"/>
      <c r="B32" s="30"/>
      <c r="C32" s="87"/>
      <c r="D32" s="297"/>
      <c r="E32" s="291"/>
      <c r="F32" s="127"/>
      <c r="G32" s="129"/>
      <c r="H32" s="128"/>
      <c r="I32" s="128"/>
      <c r="J32" s="84"/>
      <c r="K32" s="120"/>
      <c r="L32" s="290"/>
      <c r="M32" s="334"/>
      <c r="N32" s="321"/>
      <c r="O32" s="406"/>
      <c r="P32" s="81"/>
      <c r="Q32" s="81"/>
      <c r="R32" s="80"/>
      <c r="S32" s="23">
        <f t="shared" si="3"/>
        <v>0</v>
      </c>
      <c r="V32" s="34" t="str">
        <f t="shared" si="4"/>
        <v>1</v>
      </c>
      <c r="W32" s="34" t="str">
        <f t="shared" si="5"/>
        <v>2</v>
      </c>
    </row>
    <row r="33" spans="1:23" s="38" customFormat="1" ht="20.25" customHeight="1" x14ac:dyDescent="0.2">
      <c r="A33" s="80"/>
      <c r="B33" s="39"/>
      <c r="C33" s="132"/>
      <c r="D33" s="115"/>
      <c r="E33" s="130"/>
      <c r="F33" s="127"/>
      <c r="G33" s="129"/>
      <c r="H33" s="129"/>
      <c r="I33" s="128"/>
      <c r="J33" s="84"/>
      <c r="K33" s="120"/>
      <c r="L33" s="290"/>
      <c r="M33" s="334"/>
      <c r="N33" s="321"/>
      <c r="O33" s="406"/>
      <c r="P33" s="81"/>
      <c r="Q33" s="81"/>
      <c r="R33" s="127"/>
      <c r="S33" s="23"/>
      <c r="V33" s="34"/>
      <c r="W33" s="34"/>
    </row>
    <row r="34" spans="1:23" s="38" customFormat="1" ht="20.25" customHeight="1" x14ac:dyDescent="0.2">
      <c r="A34" s="80"/>
      <c r="B34" s="39"/>
      <c r="C34" s="132"/>
      <c r="D34" s="115"/>
      <c r="E34" s="130"/>
      <c r="F34" s="127"/>
      <c r="G34" s="129"/>
      <c r="H34" s="129"/>
      <c r="I34" s="128"/>
      <c r="J34" s="84"/>
      <c r="K34" s="120"/>
      <c r="L34" s="233"/>
      <c r="M34" s="333"/>
      <c r="N34" s="319"/>
      <c r="O34" s="457"/>
      <c r="P34" s="81"/>
      <c r="Q34" s="81"/>
      <c r="R34" s="127"/>
      <c r="S34" s="23"/>
      <c r="V34" s="34"/>
      <c r="W34" s="34"/>
    </row>
    <row r="35" spans="1:23" s="38" customFormat="1" ht="20.25" customHeight="1" x14ac:dyDescent="0.2">
      <c r="A35" s="80"/>
      <c r="B35" s="39"/>
      <c r="C35" s="132"/>
      <c r="D35" s="131"/>
      <c r="E35" s="130"/>
      <c r="F35" s="127"/>
      <c r="G35" s="129"/>
      <c r="H35" s="129"/>
      <c r="I35" s="128"/>
      <c r="J35" s="84"/>
      <c r="K35" s="120"/>
      <c r="L35" s="233"/>
      <c r="M35" s="333"/>
      <c r="N35" s="319"/>
      <c r="O35" s="457"/>
      <c r="P35" s="81"/>
      <c r="Q35" s="81"/>
      <c r="R35" s="127"/>
      <c r="S35" s="34"/>
    </row>
    <row r="36" spans="1:23" s="13" customFormat="1" ht="20.25" customHeight="1" x14ac:dyDescent="0.2">
      <c r="A36" s="70"/>
      <c r="B36" s="136"/>
      <c r="C36" s="78"/>
      <c r="D36" s="125"/>
      <c r="E36" s="135"/>
      <c r="F36" s="70"/>
      <c r="G36" s="123"/>
      <c r="H36" s="123"/>
      <c r="I36" s="123"/>
      <c r="J36" s="75"/>
      <c r="K36" s="288"/>
      <c r="L36" s="122"/>
      <c r="M36" s="318"/>
      <c r="N36" s="322"/>
      <c r="O36" s="459"/>
      <c r="P36" s="71"/>
      <c r="Q36" s="71"/>
      <c r="R36" s="70"/>
    </row>
    <row r="37" spans="1:23" s="34" customFormat="1" ht="20.25" customHeight="1" x14ac:dyDescent="0.2">
      <c r="A37" s="172">
        <v>1</v>
      </c>
      <c r="B37" s="235" t="s">
        <v>1</v>
      </c>
      <c r="C37" s="236" t="s">
        <v>192</v>
      </c>
      <c r="D37" s="111" t="s">
        <v>527</v>
      </c>
      <c r="E37" s="268" t="s">
        <v>425</v>
      </c>
      <c r="F37" s="80"/>
      <c r="G37" s="128"/>
      <c r="H37" s="128"/>
      <c r="I37" s="128"/>
      <c r="J37" s="84"/>
      <c r="K37" s="233"/>
      <c r="L37" s="233"/>
      <c r="M37" s="317"/>
      <c r="N37" s="361">
        <v>900000</v>
      </c>
      <c r="O37" s="460"/>
      <c r="P37" s="81">
        <v>1500000</v>
      </c>
      <c r="Q37" s="81"/>
      <c r="R37" s="80"/>
    </row>
    <row r="38" spans="1:23" s="34" customFormat="1" ht="20.25" customHeight="1" x14ac:dyDescent="0.2">
      <c r="A38" s="172">
        <v>2</v>
      </c>
      <c r="B38" s="235" t="s">
        <v>1</v>
      </c>
      <c r="C38" s="236" t="s">
        <v>192</v>
      </c>
      <c r="D38" s="111" t="s">
        <v>528</v>
      </c>
      <c r="E38" s="268" t="s">
        <v>452</v>
      </c>
      <c r="F38" s="80"/>
      <c r="G38" s="128"/>
      <c r="H38" s="128"/>
      <c r="I38" s="128"/>
      <c r="J38" s="84"/>
      <c r="K38" s="233"/>
      <c r="L38" s="233"/>
      <c r="M38" s="317"/>
      <c r="N38" s="361">
        <v>900000</v>
      </c>
      <c r="O38" s="460"/>
      <c r="P38" s="562" t="s">
        <v>501</v>
      </c>
      <c r="Q38" s="81"/>
      <c r="R38" s="568" t="s">
        <v>507</v>
      </c>
    </row>
    <row r="39" spans="1:23" s="34" customFormat="1" ht="20.25" customHeight="1" x14ac:dyDescent="0.2">
      <c r="A39" s="172">
        <v>3</v>
      </c>
      <c r="B39" s="235" t="s">
        <v>1</v>
      </c>
      <c r="C39" s="236" t="s">
        <v>192</v>
      </c>
      <c r="D39" s="111" t="s">
        <v>529</v>
      </c>
      <c r="E39" s="358" t="s">
        <v>426</v>
      </c>
      <c r="F39" s="80"/>
      <c r="G39" s="128"/>
      <c r="H39" s="128"/>
      <c r="I39" s="128"/>
      <c r="J39" s="84"/>
      <c r="K39" s="233"/>
      <c r="L39" s="233"/>
      <c r="M39" s="317"/>
      <c r="N39" s="361">
        <v>900000</v>
      </c>
      <c r="O39" s="460"/>
      <c r="P39" s="81">
        <v>1500000</v>
      </c>
      <c r="Q39" s="81"/>
      <c r="R39" s="80"/>
    </row>
    <row r="40" spans="1:23" s="387" customFormat="1" ht="20.25" customHeight="1" x14ac:dyDescent="0.2">
      <c r="A40" s="476">
        <v>4</v>
      </c>
      <c r="B40" s="477" t="s">
        <v>1</v>
      </c>
      <c r="C40" s="478" t="s">
        <v>192</v>
      </c>
      <c r="D40" s="111" t="s">
        <v>530</v>
      </c>
      <c r="E40" s="479" t="s">
        <v>453</v>
      </c>
      <c r="F40" s="480"/>
      <c r="G40" s="481"/>
      <c r="H40" s="481"/>
      <c r="I40" s="481"/>
      <c r="J40" s="482"/>
      <c r="K40" s="382"/>
      <c r="L40" s="382"/>
      <c r="M40" s="483"/>
      <c r="N40" s="484">
        <v>650000</v>
      </c>
      <c r="O40" s="485"/>
      <c r="P40" s="562" t="s">
        <v>501</v>
      </c>
      <c r="Q40" s="486"/>
      <c r="R40" s="480"/>
    </row>
    <row r="41" spans="1:23" s="34" customFormat="1" ht="20.25" customHeight="1" x14ac:dyDescent="0.2">
      <c r="A41" s="172">
        <v>5</v>
      </c>
      <c r="B41" s="235" t="s">
        <v>1</v>
      </c>
      <c r="C41" s="236" t="s">
        <v>192</v>
      </c>
      <c r="D41" s="111" t="s">
        <v>531</v>
      </c>
      <c r="E41" s="359" t="s">
        <v>454</v>
      </c>
      <c r="F41" s="80"/>
      <c r="G41" s="128"/>
      <c r="H41" s="128"/>
      <c r="I41" s="128"/>
      <c r="J41" s="84"/>
      <c r="K41" s="233"/>
      <c r="L41" s="233"/>
      <c r="M41" s="317"/>
      <c r="N41" s="361">
        <v>900000</v>
      </c>
      <c r="O41" s="460"/>
      <c r="P41" s="81">
        <v>1500000</v>
      </c>
      <c r="Q41" s="81"/>
      <c r="R41" s="80"/>
    </row>
    <row r="42" spans="1:23" s="34" customFormat="1" ht="20.25" customHeight="1" x14ac:dyDescent="0.2">
      <c r="A42" s="172">
        <v>6</v>
      </c>
      <c r="B42" s="235" t="s">
        <v>1</v>
      </c>
      <c r="C42" s="236" t="s">
        <v>192</v>
      </c>
      <c r="D42" s="111" t="s">
        <v>532</v>
      </c>
      <c r="E42" s="268" t="s">
        <v>455</v>
      </c>
      <c r="F42" s="80"/>
      <c r="G42" s="128"/>
      <c r="H42" s="128"/>
      <c r="I42" s="128"/>
      <c r="J42" s="84"/>
      <c r="K42" s="233"/>
      <c r="L42" s="233"/>
      <c r="M42" s="317"/>
      <c r="N42" s="361">
        <v>900000</v>
      </c>
      <c r="O42" s="460"/>
      <c r="P42" s="81">
        <v>1500000</v>
      </c>
      <c r="Q42" s="81"/>
      <c r="R42" s="80"/>
    </row>
    <row r="43" spans="1:23" s="34" customFormat="1" ht="20.25" customHeight="1" x14ac:dyDescent="0.2">
      <c r="A43" s="172">
        <v>7</v>
      </c>
      <c r="B43" s="235" t="s">
        <v>1</v>
      </c>
      <c r="C43" s="236" t="s">
        <v>192</v>
      </c>
      <c r="D43" s="111" t="s">
        <v>533</v>
      </c>
      <c r="E43" s="689" t="s">
        <v>456</v>
      </c>
      <c r="F43" s="80"/>
      <c r="G43" s="128"/>
      <c r="H43" s="128"/>
      <c r="I43" s="128"/>
      <c r="J43" s="84"/>
      <c r="K43" s="233"/>
      <c r="L43" s="233"/>
      <c r="M43" s="317"/>
      <c r="N43" s="690">
        <v>900000</v>
      </c>
      <c r="O43" s="691"/>
      <c r="P43" s="692" t="s">
        <v>501</v>
      </c>
      <c r="Q43" s="81"/>
      <c r="R43" s="693" t="s">
        <v>507</v>
      </c>
    </row>
    <row r="44" spans="1:23" s="387" customFormat="1" ht="20.25" customHeight="1" x14ac:dyDescent="0.2">
      <c r="A44" s="476">
        <v>8</v>
      </c>
      <c r="B44" s="477" t="s">
        <v>1</v>
      </c>
      <c r="C44" s="478" t="s">
        <v>192</v>
      </c>
      <c r="D44" s="111" t="s">
        <v>534</v>
      </c>
      <c r="E44" s="487" t="s">
        <v>457</v>
      </c>
      <c r="F44" s="480"/>
      <c r="G44" s="481"/>
      <c r="H44" s="481"/>
      <c r="I44" s="481"/>
      <c r="J44" s="482"/>
      <c r="K44" s="382"/>
      <c r="L44" s="382"/>
      <c r="M44" s="483"/>
      <c r="N44" s="484">
        <v>750000</v>
      </c>
      <c r="O44" s="485"/>
      <c r="P44" s="486">
        <v>1500000</v>
      </c>
      <c r="Q44" s="486"/>
      <c r="R44" s="480"/>
    </row>
    <row r="45" spans="1:23" s="34" customFormat="1" ht="20.25" customHeight="1" x14ac:dyDescent="0.2">
      <c r="A45" s="172">
        <v>9</v>
      </c>
      <c r="B45" s="235" t="s">
        <v>1</v>
      </c>
      <c r="C45" s="236" t="s">
        <v>192</v>
      </c>
      <c r="D45" s="111" t="s">
        <v>535</v>
      </c>
      <c r="E45" s="360" t="s">
        <v>232</v>
      </c>
      <c r="F45" s="80"/>
      <c r="G45" s="128"/>
      <c r="H45" s="128"/>
      <c r="I45" s="128"/>
      <c r="J45" s="84"/>
      <c r="K45" s="233"/>
      <c r="L45" s="233"/>
      <c r="M45" s="317"/>
      <c r="N45" s="361">
        <v>900000</v>
      </c>
      <c r="O45" s="460"/>
      <c r="P45" s="81">
        <v>1500000</v>
      </c>
      <c r="Q45" s="81"/>
      <c r="R45" s="80"/>
    </row>
    <row r="46" spans="1:23" s="34" customFormat="1" ht="20.25" customHeight="1" x14ac:dyDescent="0.2">
      <c r="A46" s="172">
        <v>10</v>
      </c>
      <c r="B46" s="235" t="s">
        <v>1</v>
      </c>
      <c r="C46" s="236" t="s">
        <v>192</v>
      </c>
      <c r="D46" s="111" t="s">
        <v>536</v>
      </c>
      <c r="E46" s="360" t="s">
        <v>458</v>
      </c>
      <c r="F46" s="80"/>
      <c r="G46" s="128"/>
      <c r="H46" s="128"/>
      <c r="I46" s="128"/>
      <c r="J46" s="84"/>
      <c r="K46" s="233"/>
      <c r="L46" s="233"/>
      <c r="M46" s="317"/>
      <c r="N46" s="361">
        <v>900000</v>
      </c>
      <c r="O46" s="460"/>
      <c r="P46" s="81">
        <v>1500000</v>
      </c>
      <c r="Q46" s="81"/>
      <c r="R46" s="80"/>
    </row>
    <row r="47" spans="1:23" s="387" customFormat="1" ht="20.25" customHeight="1" x14ac:dyDescent="0.2">
      <c r="A47" s="476">
        <v>11</v>
      </c>
      <c r="B47" s="477" t="s">
        <v>1</v>
      </c>
      <c r="C47" s="478" t="s">
        <v>192</v>
      </c>
      <c r="D47" s="111" t="s">
        <v>537</v>
      </c>
      <c r="E47" s="479" t="s">
        <v>231</v>
      </c>
      <c r="F47" s="480"/>
      <c r="G47" s="481"/>
      <c r="H47" s="481"/>
      <c r="I47" s="481"/>
      <c r="J47" s="482"/>
      <c r="K47" s="382"/>
      <c r="L47" s="382"/>
      <c r="M47" s="483"/>
      <c r="N47" s="484">
        <v>600000</v>
      </c>
      <c r="O47" s="485"/>
      <c r="P47" s="562" t="s">
        <v>501</v>
      </c>
      <c r="Q47" s="81"/>
      <c r="R47" s="568" t="s">
        <v>507</v>
      </c>
    </row>
    <row r="48" spans="1:23" s="34" customFormat="1" ht="20.25" customHeight="1" x14ac:dyDescent="0.2">
      <c r="A48" s="172">
        <v>12</v>
      </c>
      <c r="B48" s="235" t="s">
        <v>1</v>
      </c>
      <c r="C48" s="236" t="s">
        <v>192</v>
      </c>
      <c r="D48" s="111" t="s">
        <v>538</v>
      </c>
      <c r="E48" s="268" t="s">
        <v>459</v>
      </c>
      <c r="F48" s="80"/>
      <c r="G48" s="128"/>
      <c r="H48" s="128"/>
      <c r="I48" s="128"/>
      <c r="J48" s="84"/>
      <c r="K48" s="233"/>
      <c r="L48" s="233"/>
      <c r="M48" s="317"/>
      <c r="N48" s="361">
        <v>900000</v>
      </c>
      <c r="O48" s="460"/>
      <c r="P48" s="81">
        <v>1500000</v>
      </c>
      <c r="Q48" s="81"/>
      <c r="R48" s="80"/>
    </row>
    <row r="49" spans="1:19" s="34" customFormat="1" ht="20.25" customHeight="1" x14ac:dyDescent="0.2">
      <c r="A49" s="172">
        <v>13</v>
      </c>
      <c r="B49" s="235" t="s">
        <v>1</v>
      </c>
      <c r="C49" s="236" t="s">
        <v>192</v>
      </c>
      <c r="D49" s="111" t="s">
        <v>539</v>
      </c>
      <c r="E49" s="360" t="s">
        <v>460</v>
      </c>
      <c r="F49" s="80"/>
      <c r="G49" s="128"/>
      <c r="H49" s="128"/>
      <c r="I49" s="128"/>
      <c r="J49" s="84"/>
      <c r="K49" s="233"/>
      <c r="L49" s="233"/>
      <c r="M49" s="317"/>
      <c r="N49" s="361">
        <v>900000</v>
      </c>
      <c r="O49" s="460"/>
      <c r="P49" s="81">
        <v>1500000</v>
      </c>
      <c r="Q49" s="81"/>
      <c r="R49" s="80"/>
    </row>
    <row r="50" spans="1:19" s="34" customFormat="1" ht="20.25" customHeight="1" x14ac:dyDescent="0.2">
      <c r="A50" s="172">
        <v>14</v>
      </c>
      <c r="B50" s="235" t="s">
        <v>1</v>
      </c>
      <c r="C50" s="236" t="s">
        <v>192</v>
      </c>
      <c r="D50" s="111" t="s">
        <v>540</v>
      </c>
      <c r="E50" s="267" t="s">
        <v>461</v>
      </c>
      <c r="F50" s="80"/>
      <c r="G50" s="128"/>
      <c r="H50" s="128"/>
      <c r="I50" s="128"/>
      <c r="J50" s="84"/>
      <c r="K50" s="233"/>
      <c r="L50" s="233"/>
      <c r="M50" s="317"/>
      <c r="N50" s="361">
        <v>900000</v>
      </c>
      <c r="O50" s="460"/>
      <c r="P50" s="81">
        <v>1500000</v>
      </c>
      <c r="Q50" s="81"/>
      <c r="R50" s="80"/>
    </row>
    <row r="51" spans="1:19" s="387" customFormat="1" ht="20.25" customHeight="1" x14ac:dyDescent="0.2">
      <c r="A51" s="476">
        <v>15</v>
      </c>
      <c r="B51" s="477" t="s">
        <v>1</v>
      </c>
      <c r="C51" s="478" t="s">
        <v>192</v>
      </c>
      <c r="D51" s="111" t="s">
        <v>541</v>
      </c>
      <c r="E51" s="488" t="s">
        <v>462</v>
      </c>
      <c r="F51" s="480"/>
      <c r="G51" s="481"/>
      <c r="H51" s="481"/>
      <c r="I51" s="481"/>
      <c r="J51" s="482"/>
      <c r="K51" s="382"/>
      <c r="L51" s="382"/>
      <c r="M51" s="483"/>
      <c r="N51" s="484">
        <v>650000</v>
      </c>
      <c r="O51" s="485"/>
      <c r="P51" s="486">
        <v>1500000</v>
      </c>
      <c r="Q51" s="486"/>
      <c r="R51" s="480"/>
    </row>
    <row r="52" spans="1:19" s="387" customFormat="1" ht="20.25" customHeight="1" x14ac:dyDescent="0.2">
      <c r="A52" s="476">
        <v>16</v>
      </c>
      <c r="B52" s="477" t="s">
        <v>1</v>
      </c>
      <c r="C52" s="478" t="s">
        <v>192</v>
      </c>
      <c r="D52" s="111" t="s">
        <v>542</v>
      </c>
      <c r="E52" s="487" t="s">
        <v>463</v>
      </c>
      <c r="F52" s="480"/>
      <c r="G52" s="481"/>
      <c r="H52" s="481"/>
      <c r="I52" s="481"/>
      <c r="J52" s="482"/>
      <c r="K52" s="382"/>
      <c r="L52" s="382"/>
      <c r="M52" s="483"/>
      <c r="N52" s="484">
        <v>650000</v>
      </c>
      <c r="O52" s="485"/>
      <c r="P52" s="486">
        <v>1500000</v>
      </c>
      <c r="Q52" s="486"/>
      <c r="R52" s="480"/>
    </row>
    <row r="53" spans="1:19" s="34" customFormat="1" ht="20.25" customHeight="1" x14ac:dyDescent="0.2">
      <c r="A53" s="172">
        <v>17</v>
      </c>
      <c r="B53" s="235" t="s">
        <v>1</v>
      </c>
      <c r="C53" s="236" t="s">
        <v>192</v>
      </c>
      <c r="D53" s="111" t="s">
        <v>543</v>
      </c>
      <c r="E53" s="360" t="s">
        <v>464</v>
      </c>
      <c r="F53" s="80"/>
      <c r="G53" s="128"/>
      <c r="H53" s="128"/>
      <c r="I53" s="128"/>
      <c r="J53" s="84"/>
      <c r="K53" s="233"/>
      <c r="L53" s="233"/>
      <c r="M53" s="317"/>
      <c r="N53" s="361">
        <v>900000</v>
      </c>
      <c r="O53" s="460"/>
      <c r="P53" s="81">
        <v>1500000</v>
      </c>
      <c r="Q53" s="81"/>
      <c r="R53" s="80"/>
    </row>
    <row r="54" spans="1:19" s="34" customFormat="1" ht="20.25" customHeight="1" x14ac:dyDescent="0.2">
      <c r="A54" s="172">
        <v>18</v>
      </c>
      <c r="B54" s="235" t="s">
        <v>1</v>
      </c>
      <c r="C54" s="236" t="s">
        <v>192</v>
      </c>
      <c r="D54" s="111" t="s">
        <v>544</v>
      </c>
      <c r="E54" s="269" t="s">
        <v>230</v>
      </c>
      <c r="F54" s="80"/>
      <c r="G54" s="128"/>
      <c r="H54" s="128"/>
      <c r="I54" s="128"/>
      <c r="J54" s="84"/>
      <c r="K54" s="233"/>
      <c r="L54" s="233"/>
      <c r="M54" s="317"/>
      <c r="N54" s="361">
        <v>900000</v>
      </c>
      <c r="O54" s="460"/>
      <c r="P54" s="562" t="s">
        <v>501</v>
      </c>
      <c r="Q54" s="81"/>
      <c r="R54" s="80"/>
    </row>
    <row r="55" spans="1:19" s="387" customFormat="1" ht="20.25" customHeight="1" x14ac:dyDescent="0.2">
      <c r="A55" s="476">
        <v>19</v>
      </c>
      <c r="B55" s="477" t="s">
        <v>1</v>
      </c>
      <c r="C55" s="478" t="s">
        <v>192</v>
      </c>
      <c r="D55" s="111" t="s">
        <v>545</v>
      </c>
      <c r="E55" s="487" t="s">
        <v>465</v>
      </c>
      <c r="F55" s="480"/>
      <c r="G55" s="481"/>
      <c r="H55" s="481"/>
      <c r="I55" s="481"/>
      <c r="J55" s="482"/>
      <c r="K55" s="382"/>
      <c r="L55" s="382"/>
      <c r="M55" s="483"/>
      <c r="N55" s="484">
        <v>700000</v>
      </c>
      <c r="O55" s="485"/>
      <c r="P55" s="486">
        <v>1500000</v>
      </c>
      <c r="Q55" s="486"/>
      <c r="R55" s="480"/>
    </row>
    <row r="56" spans="1:19" s="34" customFormat="1" ht="20.25" customHeight="1" x14ac:dyDescent="0.2">
      <c r="A56" s="172">
        <v>20</v>
      </c>
      <c r="B56" s="235" t="s">
        <v>1</v>
      </c>
      <c r="C56" s="236" t="s">
        <v>192</v>
      </c>
      <c r="D56" s="111" t="s">
        <v>546</v>
      </c>
      <c r="E56" s="360" t="s">
        <v>466</v>
      </c>
      <c r="F56" s="80"/>
      <c r="G56" s="128"/>
      <c r="H56" s="128"/>
      <c r="I56" s="128"/>
      <c r="J56" s="84"/>
      <c r="K56" s="233"/>
      <c r="L56" s="233"/>
      <c r="M56" s="317"/>
      <c r="N56" s="361">
        <v>900000</v>
      </c>
      <c r="O56" s="460"/>
      <c r="P56" s="81">
        <v>1500000</v>
      </c>
      <c r="Q56" s="81"/>
      <c r="R56" s="80"/>
    </row>
    <row r="57" spans="1:19" s="34" customFormat="1" ht="20.25" customHeight="1" x14ac:dyDescent="0.2">
      <c r="A57" s="172">
        <v>21</v>
      </c>
      <c r="B57" s="235" t="s">
        <v>1</v>
      </c>
      <c r="C57" s="236" t="s">
        <v>192</v>
      </c>
      <c r="D57" s="111" t="s">
        <v>547</v>
      </c>
      <c r="E57" s="360" t="s">
        <v>467</v>
      </c>
      <c r="F57" s="80"/>
      <c r="G57" s="128"/>
      <c r="H57" s="128"/>
      <c r="I57" s="128"/>
      <c r="J57" s="84"/>
      <c r="K57" s="233"/>
      <c r="L57" s="233"/>
      <c r="M57" s="317"/>
      <c r="N57" s="361">
        <v>900000</v>
      </c>
      <c r="O57" s="460"/>
      <c r="P57" s="562" t="s">
        <v>501</v>
      </c>
      <c r="Q57" s="81"/>
      <c r="R57" s="568" t="s">
        <v>507</v>
      </c>
    </row>
    <row r="58" spans="1:19" s="34" customFormat="1" ht="20.25" customHeight="1" x14ac:dyDescent="0.2">
      <c r="A58" s="80">
        <v>22</v>
      </c>
      <c r="B58" s="235" t="s">
        <v>1</v>
      </c>
      <c r="C58" s="236" t="s">
        <v>192</v>
      </c>
      <c r="D58" s="111"/>
      <c r="E58" s="316"/>
      <c r="F58" s="80"/>
      <c r="G58" s="128"/>
      <c r="H58" s="128"/>
      <c r="I58" s="128"/>
      <c r="J58" s="84"/>
      <c r="K58" s="233"/>
      <c r="L58" s="233"/>
      <c r="M58" s="317"/>
      <c r="N58" s="428"/>
      <c r="O58" s="460"/>
      <c r="P58" s="81"/>
      <c r="Q58" s="81"/>
      <c r="R58" s="80"/>
    </row>
    <row r="59" spans="1:19" s="34" customFormat="1" ht="20.25" customHeight="1" x14ac:dyDescent="0.2">
      <c r="A59" s="80"/>
      <c r="B59" s="30"/>
      <c r="C59" s="165"/>
      <c r="D59" s="111"/>
      <c r="E59" s="316"/>
      <c r="F59" s="80"/>
      <c r="G59" s="128"/>
      <c r="H59" s="128"/>
      <c r="I59" s="128"/>
      <c r="J59" s="84"/>
      <c r="K59" s="233"/>
      <c r="L59" s="233"/>
      <c r="M59" s="317"/>
      <c r="N59" s="428"/>
      <c r="O59" s="460"/>
      <c r="P59" s="81"/>
      <c r="Q59" s="81"/>
      <c r="R59" s="80"/>
    </row>
    <row r="60" spans="1:19" s="34" customFormat="1" ht="20.25" customHeight="1" x14ac:dyDescent="0.2">
      <c r="A60" s="80"/>
      <c r="B60" s="30"/>
      <c r="C60" s="165"/>
      <c r="D60" s="111"/>
      <c r="E60" s="316"/>
      <c r="F60" s="80"/>
      <c r="G60" s="128"/>
      <c r="H60" s="128"/>
      <c r="I60" s="128"/>
      <c r="J60" s="84"/>
      <c r="K60" s="233"/>
      <c r="L60" s="233"/>
      <c r="M60" s="317"/>
      <c r="N60" s="428"/>
      <c r="O60" s="460"/>
      <c r="P60" s="81"/>
      <c r="Q60" s="81"/>
      <c r="R60" s="80"/>
    </row>
    <row r="61" spans="1:19" s="34" customFormat="1" ht="20.25" customHeight="1" x14ac:dyDescent="0.2">
      <c r="A61" s="80"/>
      <c r="B61" s="30"/>
      <c r="C61" s="165"/>
      <c r="D61" s="111"/>
      <c r="E61" s="316"/>
      <c r="F61" s="80"/>
      <c r="G61" s="128"/>
      <c r="H61" s="128"/>
      <c r="I61" s="128"/>
      <c r="J61" s="84"/>
      <c r="K61" s="233"/>
      <c r="L61" s="233"/>
      <c r="M61" s="317"/>
      <c r="N61" s="428"/>
      <c r="O61" s="460"/>
      <c r="P61" s="81"/>
      <c r="Q61" s="81"/>
      <c r="R61" s="80"/>
    </row>
    <row r="62" spans="1:19" s="34" customFormat="1" ht="20.25" customHeight="1" x14ac:dyDescent="0.2">
      <c r="A62" s="80"/>
      <c r="B62" s="30"/>
      <c r="C62" s="165"/>
      <c r="D62" s="111"/>
      <c r="E62" s="316"/>
      <c r="F62" s="80"/>
      <c r="G62" s="128"/>
      <c r="H62" s="128"/>
      <c r="I62" s="128"/>
      <c r="J62" s="84"/>
      <c r="K62" s="233"/>
      <c r="L62" s="233"/>
      <c r="M62" s="317"/>
      <c r="N62" s="428"/>
      <c r="O62" s="460"/>
      <c r="P62" s="81"/>
      <c r="Q62" s="81"/>
      <c r="R62" s="80"/>
    </row>
    <row r="63" spans="1:19" s="13" customFormat="1" ht="20.25" customHeight="1" x14ac:dyDescent="0.2">
      <c r="A63" s="70"/>
      <c r="B63" s="313"/>
      <c r="C63" s="314"/>
      <c r="D63" s="315"/>
      <c r="E63" s="135"/>
      <c r="F63" s="70"/>
      <c r="G63" s="123"/>
      <c r="H63" s="123"/>
      <c r="I63" s="123"/>
      <c r="J63" s="75"/>
      <c r="K63" s="122"/>
      <c r="L63" s="122"/>
      <c r="M63" s="318"/>
      <c r="N63" s="322"/>
      <c r="O63" s="459"/>
      <c r="P63" s="71"/>
      <c r="Q63" s="71"/>
      <c r="R63" s="70"/>
    </row>
    <row r="64" spans="1:19" s="34" customFormat="1" ht="20.25" customHeight="1" x14ac:dyDescent="0.2">
      <c r="A64" s="172">
        <v>1</v>
      </c>
      <c r="B64" s="235" t="s">
        <v>1</v>
      </c>
      <c r="C64" s="236" t="s">
        <v>118</v>
      </c>
      <c r="D64" s="615">
        <v>21021</v>
      </c>
      <c r="E64" s="606" t="s">
        <v>226</v>
      </c>
      <c r="F64" s="172"/>
      <c r="G64" s="82"/>
      <c r="H64" s="82"/>
      <c r="I64" s="82"/>
      <c r="J64" s="82"/>
      <c r="K64" s="238"/>
      <c r="L64" s="239"/>
      <c r="M64" s="362">
        <v>900000</v>
      </c>
      <c r="N64" s="323">
        <f>SUM(M64+50000)</f>
        <v>950000</v>
      </c>
      <c r="O64" s="461"/>
      <c r="P64" s="247"/>
      <c r="Q64" s="82"/>
      <c r="R64" s="80"/>
      <c r="S64" s="270">
        <f t="shared" ref="S64:S84" si="6">SUM(M64)</f>
        <v>900000</v>
      </c>
    </row>
    <row r="65" spans="1:19" s="528" customFormat="1" ht="20.25" customHeight="1" x14ac:dyDescent="0.2">
      <c r="A65" s="515">
        <v>2</v>
      </c>
      <c r="B65" s="516" t="s">
        <v>1</v>
      </c>
      <c r="C65" s="517" t="s">
        <v>118</v>
      </c>
      <c r="D65" s="616">
        <v>21022</v>
      </c>
      <c r="E65" s="518" t="s">
        <v>410</v>
      </c>
      <c r="F65" s="515"/>
      <c r="G65" s="519"/>
      <c r="H65" s="519"/>
      <c r="I65" s="519"/>
      <c r="J65" s="519"/>
      <c r="K65" s="520"/>
      <c r="L65" s="521"/>
      <c r="M65" s="522">
        <v>900000</v>
      </c>
      <c r="N65" s="523">
        <f t="shared" ref="N65:N80" si="7">SUM(M65+50000)</f>
        <v>950000</v>
      </c>
      <c r="O65" s="524"/>
      <c r="P65" s="525"/>
      <c r="Q65" s="519"/>
      <c r="R65" s="526" t="s">
        <v>500</v>
      </c>
      <c r="S65" s="527">
        <f t="shared" si="6"/>
        <v>900000</v>
      </c>
    </row>
    <row r="66" spans="1:19" s="34" customFormat="1" ht="20.25" customHeight="1" x14ac:dyDescent="0.2">
      <c r="A66" s="172">
        <v>3</v>
      </c>
      <c r="B66" s="235" t="s">
        <v>1</v>
      </c>
      <c r="C66" s="236" t="s">
        <v>118</v>
      </c>
      <c r="D66" s="615">
        <v>21023</v>
      </c>
      <c r="E66" s="607" t="s">
        <v>411</v>
      </c>
      <c r="F66" s="172"/>
      <c r="G66" s="82"/>
      <c r="H66" s="82"/>
      <c r="I66" s="82"/>
      <c r="J66" s="82"/>
      <c r="K66" s="238"/>
      <c r="L66" s="239"/>
      <c r="M66" s="362">
        <v>900000</v>
      </c>
      <c r="N66" s="323">
        <f t="shared" si="7"/>
        <v>950000</v>
      </c>
      <c r="O66" s="461"/>
      <c r="P66" s="247"/>
      <c r="Q66" s="82"/>
      <c r="R66" s="80"/>
      <c r="S66" s="270">
        <f t="shared" si="6"/>
        <v>900000</v>
      </c>
    </row>
    <row r="67" spans="1:19" s="34" customFormat="1" ht="20.25" customHeight="1" x14ac:dyDescent="0.2">
      <c r="A67" s="172">
        <v>4</v>
      </c>
      <c r="B67" s="235" t="s">
        <v>1</v>
      </c>
      <c r="C67" s="236" t="s">
        <v>118</v>
      </c>
      <c r="D67" s="615">
        <v>21024</v>
      </c>
      <c r="E67" s="606" t="s">
        <v>227</v>
      </c>
      <c r="F67" s="172"/>
      <c r="G67" s="82"/>
      <c r="H67" s="82"/>
      <c r="I67" s="82"/>
      <c r="J67" s="82"/>
      <c r="K67" s="238"/>
      <c r="L67" s="239"/>
      <c r="M67" s="362">
        <v>900000</v>
      </c>
      <c r="N67" s="323">
        <f t="shared" si="7"/>
        <v>950000</v>
      </c>
      <c r="O67" s="461"/>
      <c r="P67" s="247"/>
      <c r="Q67" s="82"/>
      <c r="R67" s="80"/>
      <c r="S67" s="270">
        <f t="shared" si="6"/>
        <v>900000</v>
      </c>
    </row>
    <row r="68" spans="1:19" s="34" customFormat="1" ht="20.25" customHeight="1" x14ac:dyDescent="0.2">
      <c r="A68" s="172">
        <v>5</v>
      </c>
      <c r="B68" s="235" t="s">
        <v>1</v>
      </c>
      <c r="C68" s="236" t="s">
        <v>118</v>
      </c>
      <c r="D68" s="615">
        <v>21025</v>
      </c>
      <c r="E68" s="608" t="s">
        <v>412</v>
      </c>
      <c r="F68" s="172"/>
      <c r="G68" s="82"/>
      <c r="H68" s="82"/>
      <c r="I68" s="82"/>
      <c r="J68" s="82"/>
      <c r="K68" s="238"/>
      <c r="L68" s="239"/>
      <c r="M68" s="362">
        <v>900000</v>
      </c>
      <c r="N68" s="323">
        <f t="shared" si="7"/>
        <v>950000</v>
      </c>
      <c r="O68" s="461"/>
      <c r="P68" s="247"/>
      <c r="Q68" s="82"/>
      <c r="R68" s="80"/>
      <c r="S68" s="270">
        <f t="shared" si="6"/>
        <v>900000</v>
      </c>
    </row>
    <row r="69" spans="1:19" s="34" customFormat="1" ht="20.25" customHeight="1" x14ac:dyDescent="0.2">
      <c r="A69" s="172">
        <v>6</v>
      </c>
      <c r="B69" s="235" t="s">
        <v>1</v>
      </c>
      <c r="C69" s="236" t="s">
        <v>118</v>
      </c>
      <c r="D69" s="615">
        <v>21026</v>
      </c>
      <c r="E69" s="606" t="s">
        <v>413</v>
      </c>
      <c r="F69" s="172"/>
      <c r="G69" s="82"/>
      <c r="H69" s="82"/>
      <c r="I69" s="82"/>
      <c r="J69" s="82"/>
      <c r="K69" s="238"/>
      <c r="L69" s="239"/>
      <c r="M69" s="362">
        <v>900000</v>
      </c>
      <c r="N69" s="323">
        <f t="shared" si="7"/>
        <v>950000</v>
      </c>
      <c r="O69" s="461"/>
      <c r="P69" s="247"/>
      <c r="Q69" s="82"/>
      <c r="R69" s="80"/>
      <c r="S69" s="270">
        <f t="shared" si="6"/>
        <v>900000</v>
      </c>
    </row>
    <row r="70" spans="1:19" s="528" customFormat="1" ht="20.25" customHeight="1" x14ac:dyDescent="0.2">
      <c r="A70" s="515">
        <v>7</v>
      </c>
      <c r="B70" s="516" t="s">
        <v>1</v>
      </c>
      <c r="C70" s="517" t="s">
        <v>118</v>
      </c>
      <c r="D70" s="616">
        <v>21027</v>
      </c>
      <c r="E70" s="609" t="s">
        <v>414</v>
      </c>
      <c r="F70" s="515"/>
      <c r="G70" s="519"/>
      <c r="H70" s="519"/>
      <c r="I70" s="519"/>
      <c r="J70" s="519"/>
      <c r="K70" s="520"/>
      <c r="L70" s="521"/>
      <c r="M70" s="522">
        <v>900000</v>
      </c>
      <c r="N70" s="523">
        <f t="shared" si="7"/>
        <v>950000</v>
      </c>
      <c r="O70" s="524"/>
      <c r="P70" s="525"/>
      <c r="Q70" s="519"/>
      <c r="R70" s="526" t="s">
        <v>500</v>
      </c>
      <c r="S70" s="527">
        <f t="shared" si="6"/>
        <v>900000</v>
      </c>
    </row>
    <row r="71" spans="1:19" s="34" customFormat="1" ht="20.25" customHeight="1" x14ac:dyDescent="0.2">
      <c r="A71" s="172">
        <v>8</v>
      </c>
      <c r="B71" s="235" t="s">
        <v>1</v>
      </c>
      <c r="C71" s="236" t="s">
        <v>118</v>
      </c>
      <c r="D71" s="615">
        <v>21028</v>
      </c>
      <c r="E71" s="606" t="s">
        <v>415</v>
      </c>
      <c r="F71" s="172"/>
      <c r="G71" s="82"/>
      <c r="H71" s="82"/>
      <c r="I71" s="82"/>
      <c r="J71" s="82"/>
      <c r="K71" s="238"/>
      <c r="L71" s="239"/>
      <c r="M71" s="362">
        <v>900000</v>
      </c>
      <c r="N71" s="323">
        <f t="shared" si="7"/>
        <v>950000</v>
      </c>
      <c r="O71" s="461"/>
      <c r="P71" s="247"/>
      <c r="Q71" s="82"/>
      <c r="R71" s="80"/>
      <c r="S71" s="270">
        <f t="shared" si="6"/>
        <v>900000</v>
      </c>
    </row>
    <row r="72" spans="1:19" s="34" customFormat="1" ht="20.25" customHeight="1" x14ac:dyDescent="0.2">
      <c r="A72" s="172">
        <v>9</v>
      </c>
      <c r="B72" s="235" t="s">
        <v>1</v>
      </c>
      <c r="C72" s="236" t="s">
        <v>118</v>
      </c>
      <c r="D72" s="615">
        <v>21029</v>
      </c>
      <c r="E72" s="606" t="s">
        <v>222</v>
      </c>
      <c r="F72" s="172"/>
      <c r="G72" s="82"/>
      <c r="H72" s="82"/>
      <c r="I72" s="82"/>
      <c r="J72" s="82"/>
      <c r="K72" s="238"/>
      <c r="L72" s="239"/>
      <c r="M72" s="362">
        <v>900000</v>
      </c>
      <c r="N72" s="323">
        <f t="shared" si="7"/>
        <v>950000</v>
      </c>
      <c r="O72" s="461"/>
      <c r="P72" s="247"/>
      <c r="Q72" s="82"/>
      <c r="R72" s="80"/>
      <c r="S72" s="270">
        <f t="shared" si="6"/>
        <v>900000</v>
      </c>
    </row>
    <row r="73" spans="1:19" s="34" customFormat="1" ht="20.25" customHeight="1" x14ac:dyDescent="0.2">
      <c r="A73" s="172">
        <v>10</v>
      </c>
      <c r="B73" s="235" t="s">
        <v>1</v>
      </c>
      <c r="C73" s="236" t="s">
        <v>118</v>
      </c>
      <c r="D73" s="615">
        <v>21030</v>
      </c>
      <c r="E73" s="606" t="s">
        <v>223</v>
      </c>
      <c r="F73" s="172"/>
      <c r="G73" s="82"/>
      <c r="H73" s="82"/>
      <c r="I73" s="82"/>
      <c r="J73" s="82"/>
      <c r="K73" s="238"/>
      <c r="L73" s="239"/>
      <c r="M73" s="362">
        <v>500000</v>
      </c>
      <c r="N73" s="323">
        <f t="shared" si="7"/>
        <v>550000</v>
      </c>
      <c r="O73" s="461"/>
      <c r="P73" s="247"/>
      <c r="Q73" s="82"/>
      <c r="R73" s="80"/>
      <c r="S73" s="270">
        <f t="shared" si="6"/>
        <v>500000</v>
      </c>
    </row>
    <row r="74" spans="1:19" s="34" customFormat="1" ht="20.25" customHeight="1" x14ac:dyDescent="0.2">
      <c r="A74" s="172">
        <v>11</v>
      </c>
      <c r="B74" s="235" t="s">
        <v>1</v>
      </c>
      <c r="C74" s="236" t="s">
        <v>118</v>
      </c>
      <c r="D74" s="615">
        <v>21031</v>
      </c>
      <c r="E74" s="610" t="s">
        <v>225</v>
      </c>
      <c r="F74" s="172"/>
      <c r="G74" s="82"/>
      <c r="H74" s="82"/>
      <c r="I74" s="82"/>
      <c r="J74" s="82"/>
      <c r="K74" s="238"/>
      <c r="L74" s="239"/>
      <c r="M74" s="362">
        <v>900000</v>
      </c>
      <c r="N74" s="323">
        <f t="shared" si="7"/>
        <v>950000</v>
      </c>
      <c r="O74" s="461"/>
      <c r="P74" s="247"/>
      <c r="Q74" s="82"/>
      <c r="R74" s="80"/>
      <c r="S74" s="270">
        <f t="shared" si="6"/>
        <v>900000</v>
      </c>
    </row>
    <row r="75" spans="1:19" s="34" customFormat="1" ht="20.25" customHeight="1" x14ac:dyDescent="0.2">
      <c r="A75" s="172">
        <v>12</v>
      </c>
      <c r="B75" s="235" t="s">
        <v>1</v>
      </c>
      <c r="C75" s="236" t="s">
        <v>118</v>
      </c>
      <c r="D75" s="615">
        <v>21032</v>
      </c>
      <c r="E75" s="611" t="s">
        <v>224</v>
      </c>
      <c r="F75" s="172"/>
      <c r="G75" s="82"/>
      <c r="H75" s="82"/>
      <c r="I75" s="82"/>
      <c r="J75" s="82"/>
      <c r="K75" s="238"/>
      <c r="L75" s="239"/>
      <c r="M75" s="362">
        <v>900000</v>
      </c>
      <c r="N75" s="323">
        <f t="shared" si="7"/>
        <v>950000</v>
      </c>
      <c r="O75" s="461"/>
      <c r="P75" s="247"/>
      <c r="Q75" s="82"/>
      <c r="R75" s="80"/>
      <c r="S75" s="270">
        <f t="shared" si="6"/>
        <v>900000</v>
      </c>
    </row>
    <row r="76" spans="1:19" s="34" customFormat="1" ht="20.25" customHeight="1" x14ac:dyDescent="0.2">
      <c r="A76" s="172">
        <v>13</v>
      </c>
      <c r="B76" s="235" t="s">
        <v>1</v>
      </c>
      <c r="C76" s="236" t="s">
        <v>118</v>
      </c>
      <c r="D76" s="615">
        <v>21033</v>
      </c>
      <c r="E76" s="606" t="s">
        <v>416</v>
      </c>
      <c r="F76" s="172"/>
      <c r="G76" s="82"/>
      <c r="H76" s="82"/>
      <c r="I76" s="82"/>
      <c r="J76" s="82"/>
      <c r="K76" s="238"/>
      <c r="L76" s="239"/>
      <c r="M76" s="362">
        <v>900000</v>
      </c>
      <c r="N76" s="323">
        <f t="shared" si="7"/>
        <v>950000</v>
      </c>
      <c r="O76" s="461"/>
      <c r="P76" s="247"/>
      <c r="Q76" s="82"/>
      <c r="R76" s="80"/>
      <c r="S76" s="270">
        <f t="shared" si="6"/>
        <v>900000</v>
      </c>
    </row>
    <row r="77" spans="1:19" s="34" customFormat="1" ht="20.25" customHeight="1" x14ac:dyDescent="0.2">
      <c r="A77" s="172">
        <v>14</v>
      </c>
      <c r="B77" s="235" t="s">
        <v>1</v>
      </c>
      <c r="C77" s="236" t="s">
        <v>118</v>
      </c>
      <c r="D77" s="615">
        <v>21034</v>
      </c>
      <c r="E77" s="612" t="s">
        <v>221</v>
      </c>
      <c r="F77" s="172"/>
      <c r="G77" s="82"/>
      <c r="H77" s="82"/>
      <c r="I77" s="82"/>
      <c r="J77" s="82"/>
      <c r="K77" s="238"/>
      <c r="L77" s="239"/>
      <c r="M77" s="362">
        <v>900000</v>
      </c>
      <c r="N77" s="323">
        <f t="shared" si="7"/>
        <v>950000</v>
      </c>
      <c r="O77" s="461"/>
      <c r="P77" s="247"/>
      <c r="Q77" s="82"/>
      <c r="R77" s="80"/>
      <c r="S77" s="270">
        <f t="shared" si="6"/>
        <v>900000</v>
      </c>
    </row>
    <row r="78" spans="1:19" s="34" customFormat="1" ht="20.25" customHeight="1" x14ac:dyDescent="0.2">
      <c r="A78" s="172">
        <v>15</v>
      </c>
      <c r="B78" s="235" t="s">
        <v>1</v>
      </c>
      <c r="C78" s="236" t="s">
        <v>118</v>
      </c>
      <c r="D78" s="615">
        <v>21035</v>
      </c>
      <c r="E78" s="613" t="s">
        <v>417</v>
      </c>
      <c r="F78" s="172"/>
      <c r="G78" s="82"/>
      <c r="H78" s="82"/>
      <c r="I78" s="82"/>
      <c r="J78" s="82"/>
      <c r="K78" s="238"/>
      <c r="L78" s="239"/>
      <c r="M78" s="362">
        <v>900000</v>
      </c>
      <c r="N78" s="323">
        <f t="shared" si="7"/>
        <v>950000</v>
      </c>
      <c r="O78" s="461"/>
      <c r="P78" s="247"/>
      <c r="Q78" s="82"/>
      <c r="R78" s="80"/>
      <c r="S78" s="270">
        <f t="shared" si="6"/>
        <v>900000</v>
      </c>
    </row>
    <row r="79" spans="1:19" s="34" customFormat="1" ht="20.25" customHeight="1" x14ac:dyDescent="0.2">
      <c r="A79" s="172">
        <v>16</v>
      </c>
      <c r="B79" s="235" t="s">
        <v>1</v>
      </c>
      <c r="C79" s="236" t="s">
        <v>118</v>
      </c>
      <c r="D79" s="615">
        <v>21036</v>
      </c>
      <c r="E79" s="614" t="s">
        <v>228</v>
      </c>
      <c r="F79" s="172"/>
      <c r="G79" s="82"/>
      <c r="H79" s="82"/>
      <c r="I79" s="82"/>
      <c r="J79" s="82"/>
      <c r="K79" s="238"/>
      <c r="L79" s="239"/>
      <c r="M79" s="362">
        <v>650000</v>
      </c>
      <c r="N79" s="323">
        <f t="shared" si="7"/>
        <v>700000</v>
      </c>
      <c r="O79" s="461"/>
      <c r="P79" s="247"/>
      <c r="Q79" s="82"/>
      <c r="R79" s="80"/>
      <c r="S79" s="270">
        <f t="shared" si="6"/>
        <v>650000</v>
      </c>
    </row>
    <row r="80" spans="1:19" s="34" customFormat="1" ht="20.25" customHeight="1" x14ac:dyDescent="0.2">
      <c r="A80" s="172">
        <v>17</v>
      </c>
      <c r="B80" s="235" t="s">
        <v>1</v>
      </c>
      <c r="C80" s="236" t="s">
        <v>118</v>
      </c>
      <c r="D80" s="111" t="s">
        <v>432</v>
      </c>
      <c r="E80" s="237" t="s">
        <v>430</v>
      </c>
      <c r="F80" s="172"/>
      <c r="G80" s="82"/>
      <c r="H80" s="82"/>
      <c r="I80" s="82"/>
      <c r="J80" s="82"/>
      <c r="K80" s="238"/>
      <c r="L80" s="239"/>
      <c r="M80" s="362">
        <v>900000</v>
      </c>
      <c r="N80" s="323">
        <f t="shared" si="7"/>
        <v>950000</v>
      </c>
      <c r="O80" s="461"/>
      <c r="P80" s="247"/>
      <c r="Q80" s="82"/>
      <c r="R80" s="80"/>
      <c r="S80" s="270">
        <f t="shared" si="6"/>
        <v>900000</v>
      </c>
    </row>
    <row r="81" spans="1:23" s="419" customFormat="1" ht="20.25" customHeight="1" x14ac:dyDescent="0.2">
      <c r="A81" s="420">
        <v>18</v>
      </c>
      <c r="B81" s="421" t="s">
        <v>1</v>
      </c>
      <c r="C81" s="409" t="s">
        <v>118</v>
      </c>
      <c r="D81" s="111" t="s">
        <v>548</v>
      </c>
      <c r="E81" s="617" t="s">
        <v>468</v>
      </c>
      <c r="F81" s="420"/>
      <c r="G81" s="417"/>
      <c r="H81" s="417"/>
      <c r="I81" s="417"/>
      <c r="J81" s="417"/>
      <c r="K81" s="422"/>
      <c r="L81" s="423"/>
      <c r="M81" s="424"/>
      <c r="N81" s="425">
        <v>900000</v>
      </c>
      <c r="O81" s="462"/>
      <c r="P81" s="426" t="s">
        <v>501</v>
      </c>
      <c r="Q81" s="417"/>
      <c r="R81" s="407" t="s">
        <v>469</v>
      </c>
      <c r="S81" s="427">
        <f t="shared" si="6"/>
        <v>0</v>
      </c>
    </row>
    <row r="82" spans="1:23" s="34" customFormat="1" ht="20.25" customHeight="1" x14ac:dyDescent="0.2">
      <c r="A82" s="172"/>
      <c r="B82" s="235"/>
      <c r="C82" s="236"/>
      <c r="D82" s="111"/>
      <c r="E82" s="237"/>
      <c r="F82" s="172"/>
      <c r="G82" s="82"/>
      <c r="H82" s="82"/>
      <c r="I82" s="82"/>
      <c r="J82" s="82"/>
      <c r="K82" s="238"/>
      <c r="L82" s="239"/>
      <c r="M82" s="335"/>
      <c r="N82" s="323"/>
      <c r="O82" s="461"/>
      <c r="P82" s="247"/>
      <c r="Q82" s="82"/>
      <c r="R82" s="80"/>
      <c r="S82" s="270">
        <f t="shared" si="6"/>
        <v>0</v>
      </c>
    </row>
    <row r="83" spans="1:23" s="34" customFormat="1" ht="20.25" customHeight="1" x14ac:dyDescent="0.2">
      <c r="A83" s="172"/>
      <c r="B83" s="235"/>
      <c r="C83" s="236"/>
      <c r="D83" s="111"/>
      <c r="E83" s="237"/>
      <c r="F83" s="172"/>
      <c r="G83" s="82"/>
      <c r="H83" s="82"/>
      <c r="I83" s="82"/>
      <c r="J83" s="82"/>
      <c r="K83" s="238"/>
      <c r="L83" s="239"/>
      <c r="M83" s="335"/>
      <c r="N83" s="323"/>
      <c r="O83" s="461"/>
      <c r="P83" s="247"/>
      <c r="Q83" s="82"/>
      <c r="R83" s="80"/>
      <c r="S83" s="270">
        <f t="shared" si="6"/>
        <v>0</v>
      </c>
    </row>
    <row r="84" spans="1:23" s="34" customFormat="1" ht="20.25" customHeight="1" x14ac:dyDescent="0.2">
      <c r="A84" s="172"/>
      <c r="B84" s="30"/>
      <c r="C84" s="165"/>
      <c r="D84" s="111"/>
      <c r="E84" s="237"/>
      <c r="F84" s="172"/>
      <c r="G84" s="82"/>
      <c r="H84" s="82"/>
      <c r="I84" s="82"/>
      <c r="J84" s="82"/>
      <c r="K84" s="238"/>
      <c r="L84" s="239"/>
      <c r="M84" s="336"/>
      <c r="N84" s="324"/>
      <c r="O84" s="463"/>
      <c r="P84" s="247"/>
      <c r="Q84" s="82"/>
      <c r="R84" s="80"/>
      <c r="S84" s="270">
        <f t="shared" si="6"/>
        <v>0</v>
      </c>
    </row>
    <row r="85" spans="1:23" s="13" customFormat="1" ht="20.25" customHeight="1" x14ac:dyDescent="0.2">
      <c r="A85" s="168"/>
      <c r="B85" s="21"/>
      <c r="C85" s="281"/>
      <c r="D85" s="282"/>
      <c r="E85" s="283"/>
      <c r="F85" s="168"/>
      <c r="G85" s="284"/>
      <c r="H85" s="284"/>
      <c r="I85" s="284"/>
      <c r="J85" s="284"/>
      <c r="K85" s="285"/>
      <c r="L85" s="286"/>
      <c r="M85" s="595">
        <f>SUM(M64:M84)</f>
        <v>14650000</v>
      </c>
      <c r="N85" s="325"/>
      <c r="O85" s="464"/>
      <c r="P85" s="287"/>
      <c r="Q85" s="284"/>
      <c r="R85" s="70"/>
    </row>
    <row r="86" spans="1:23" s="34" customFormat="1" ht="20.25" customHeight="1" x14ac:dyDescent="0.2">
      <c r="A86" s="234">
        <v>1</v>
      </c>
      <c r="B86" s="235" t="s">
        <v>1</v>
      </c>
      <c r="C86" s="236" t="s">
        <v>66</v>
      </c>
      <c r="D86" s="298">
        <v>20974</v>
      </c>
      <c r="E86" s="271" t="s">
        <v>218</v>
      </c>
      <c r="F86" s="173"/>
      <c r="G86" s="166"/>
      <c r="H86" s="166"/>
      <c r="I86" s="166"/>
      <c r="J86" s="171"/>
      <c r="K86" s="113"/>
      <c r="L86" s="240">
        <v>850000</v>
      </c>
      <c r="M86" s="369">
        <f>SUM(L86+50000)</f>
        <v>900000</v>
      </c>
      <c r="N86" s="370">
        <f>SUM(M86+50000)</f>
        <v>950000</v>
      </c>
      <c r="O86" s="465"/>
      <c r="P86" s="82"/>
      <c r="Q86" s="82"/>
      <c r="R86" s="80"/>
      <c r="S86" s="126">
        <f t="shared" ref="S86:S112" si="8">SUM(M86)</f>
        <v>900000</v>
      </c>
      <c r="V86" s="34" t="str">
        <f t="shared" ref="V86:V120" si="9">"1"&amp;D86</f>
        <v>120974</v>
      </c>
      <c r="W86" s="34" t="str">
        <f t="shared" ref="W86:W120" si="10">"2"&amp;D86</f>
        <v>220974</v>
      </c>
    </row>
    <row r="87" spans="1:23" s="38" customFormat="1" ht="20.25" customHeight="1" x14ac:dyDescent="0.2">
      <c r="A87" s="104">
        <v>2</v>
      </c>
      <c r="B87" s="39" t="s">
        <v>1</v>
      </c>
      <c r="C87" s="236" t="s">
        <v>66</v>
      </c>
      <c r="D87" s="299">
        <v>20975</v>
      </c>
      <c r="E87" s="92" t="s">
        <v>217</v>
      </c>
      <c r="F87" s="127"/>
      <c r="G87" s="129"/>
      <c r="H87" s="129"/>
      <c r="I87" s="128"/>
      <c r="J87" s="84"/>
      <c r="K87" s="120"/>
      <c r="L87" s="241">
        <v>850000</v>
      </c>
      <c r="M87" s="369">
        <f t="shared" ref="M87:M111" si="11">SUM(L87+50000)</f>
        <v>900000</v>
      </c>
      <c r="N87" s="370">
        <f t="shared" ref="N87:N111" si="12">SUM(M87+50000)</f>
        <v>950000</v>
      </c>
      <c r="O87" s="465"/>
      <c r="P87" s="82"/>
      <c r="Q87" s="82"/>
      <c r="R87" s="127"/>
      <c r="S87" s="126">
        <f t="shared" si="8"/>
        <v>900000</v>
      </c>
      <c r="V87" s="34" t="str">
        <f t="shared" si="9"/>
        <v>120975</v>
      </c>
      <c r="W87" s="34" t="str">
        <f t="shared" si="10"/>
        <v>220975</v>
      </c>
    </row>
    <row r="88" spans="1:23" s="38" customFormat="1" ht="20.25" customHeight="1" x14ac:dyDescent="0.2">
      <c r="A88" s="104">
        <v>3</v>
      </c>
      <c r="B88" s="39" t="s">
        <v>1</v>
      </c>
      <c r="C88" s="236" t="s">
        <v>66</v>
      </c>
      <c r="D88" s="299">
        <v>20976</v>
      </c>
      <c r="E88" s="272" t="s">
        <v>216</v>
      </c>
      <c r="F88" s="127"/>
      <c r="G88" s="129"/>
      <c r="H88" s="129"/>
      <c r="I88" s="128"/>
      <c r="J88" s="84"/>
      <c r="K88" s="120"/>
      <c r="L88" s="241">
        <v>850000</v>
      </c>
      <c r="M88" s="369">
        <f t="shared" si="11"/>
        <v>900000</v>
      </c>
      <c r="N88" s="370">
        <f t="shared" si="12"/>
        <v>950000</v>
      </c>
      <c r="O88" s="465"/>
      <c r="P88" s="82"/>
      <c r="Q88" s="82"/>
      <c r="R88" s="127"/>
      <c r="S88" s="126">
        <f t="shared" si="8"/>
        <v>900000</v>
      </c>
      <c r="V88" s="34" t="str">
        <f t="shared" si="9"/>
        <v>120976</v>
      </c>
      <c r="W88" s="34" t="str">
        <f t="shared" si="10"/>
        <v>220976</v>
      </c>
    </row>
    <row r="89" spans="1:23" s="38" customFormat="1" ht="20.25" customHeight="1" x14ac:dyDescent="0.2">
      <c r="A89" s="104">
        <v>4</v>
      </c>
      <c r="B89" s="39" t="s">
        <v>1</v>
      </c>
      <c r="C89" s="236" t="s">
        <v>66</v>
      </c>
      <c r="D89" s="299">
        <v>20977</v>
      </c>
      <c r="E89" s="92" t="s">
        <v>215</v>
      </c>
      <c r="F89" s="127"/>
      <c r="G89" s="129"/>
      <c r="H89" s="129"/>
      <c r="I89" s="128"/>
      <c r="J89" s="84"/>
      <c r="K89" s="120"/>
      <c r="L89" s="241">
        <v>850000</v>
      </c>
      <c r="M89" s="369">
        <f t="shared" si="11"/>
        <v>900000</v>
      </c>
      <c r="N89" s="370">
        <f t="shared" si="12"/>
        <v>950000</v>
      </c>
      <c r="O89" s="465"/>
      <c r="P89" s="82"/>
      <c r="Q89" s="82"/>
      <c r="R89" s="127"/>
      <c r="S89" s="126">
        <f t="shared" si="8"/>
        <v>900000</v>
      </c>
      <c r="V89" s="34" t="str">
        <f t="shared" si="9"/>
        <v>120977</v>
      </c>
      <c r="W89" s="34" t="str">
        <f t="shared" si="10"/>
        <v>220977</v>
      </c>
    </row>
    <row r="90" spans="1:23" s="38" customFormat="1" ht="20.25" customHeight="1" x14ac:dyDescent="0.2">
      <c r="A90" s="104">
        <v>5</v>
      </c>
      <c r="B90" s="39" t="s">
        <v>1</v>
      </c>
      <c r="C90" s="236" t="s">
        <v>66</v>
      </c>
      <c r="D90" s="299">
        <v>20978</v>
      </c>
      <c r="E90" s="92" t="s">
        <v>214</v>
      </c>
      <c r="F90" s="127"/>
      <c r="G90" s="129"/>
      <c r="H90" s="129"/>
      <c r="I90" s="128"/>
      <c r="J90" s="84"/>
      <c r="K90" s="120"/>
      <c r="L90" s="241">
        <v>850000</v>
      </c>
      <c r="M90" s="369">
        <f t="shared" si="11"/>
        <v>900000</v>
      </c>
      <c r="N90" s="370">
        <f t="shared" si="12"/>
        <v>950000</v>
      </c>
      <c r="O90" s="465"/>
      <c r="P90" s="82"/>
      <c r="Q90" s="82"/>
      <c r="R90" s="127"/>
      <c r="S90" s="126">
        <f t="shared" si="8"/>
        <v>900000</v>
      </c>
      <c r="V90" s="34" t="str">
        <f t="shared" si="9"/>
        <v>120978</v>
      </c>
      <c r="W90" s="34" t="str">
        <f t="shared" si="10"/>
        <v>220978</v>
      </c>
    </row>
    <row r="91" spans="1:23" s="38" customFormat="1" ht="20.25" customHeight="1" x14ac:dyDescent="0.2">
      <c r="A91" s="104">
        <v>6</v>
      </c>
      <c r="B91" s="39" t="s">
        <v>1</v>
      </c>
      <c r="C91" s="236" t="s">
        <v>66</v>
      </c>
      <c r="D91" s="299">
        <v>20979</v>
      </c>
      <c r="E91" s="92" t="s">
        <v>213</v>
      </c>
      <c r="F91" s="127"/>
      <c r="G91" s="129"/>
      <c r="H91" s="129"/>
      <c r="I91" s="128"/>
      <c r="J91" s="84"/>
      <c r="K91" s="120"/>
      <c r="L91" s="241">
        <v>850000</v>
      </c>
      <c r="M91" s="369">
        <f t="shared" si="11"/>
        <v>900000</v>
      </c>
      <c r="N91" s="370">
        <f t="shared" si="12"/>
        <v>950000</v>
      </c>
      <c r="O91" s="465"/>
      <c r="P91" s="82"/>
      <c r="Q91" s="82"/>
      <c r="R91" s="127"/>
      <c r="S91" s="126">
        <f t="shared" si="8"/>
        <v>900000</v>
      </c>
      <c r="V91" s="34" t="str">
        <f t="shared" si="9"/>
        <v>120979</v>
      </c>
      <c r="W91" s="34" t="str">
        <f t="shared" si="10"/>
        <v>220979</v>
      </c>
    </row>
    <row r="92" spans="1:23" s="38" customFormat="1" ht="20.25" customHeight="1" x14ac:dyDescent="0.2">
      <c r="A92" s="104">
        <v>7</v>
      </c>
      <c r="B92" s="39" t="s">
        <v>1</v>
      </c>
      <c r="C92" s="236" t="s">
        <v>66</v>
      </c>
      <c r="D92" s="299">
        <v>20980</v>
      </c>
      <c r="E92" s="92" t="s">
        <v>212</v>
      </c>
      <c r="F92" s="127"/>
      <c r="G92" s="129"/>
      <c r="H92" s="129"/>
      <c r="I92" s="128"/>
      <c r="J92" s="84"/>
      <c r="K92" s="120"/>
      <c r="L92" s="241">
        <v>850000</v>
      </c>
      <c r="M92" s="369">
        <f t="shared" si="11"/>
        <v>900000</v>
      </c>
      <c r="N92" s="370">
        <f t="shared" si="12"/>
        <v>950000</v>
      </c>
      <c r="O92" s="465"/>
      <c r="P92" s="82"/>
      <c r="Q92" s="82"/>
      <c r="R92" s="127"/>
      <c r="S92" s="126">
        <f t="shared" si="8"/>
        <v>900000</v>
      </c>
      <c r="V92" s="34" t="str">
        <f t="shared" si="9"/>
        <v>120980</v>
      </c>
      <c r="W92" s="34" t="str">
        <f t="shared" si="10"/>
        <v>220980</v>
      </c>
    </row>
    <row r="93" spans="1:23" s="38" customFormat="1" ht="20.25" customHeight="1" x14ac:dyDescent="0.2">
      <c r="A93" s="104">
        <v>8</v>
      </c>
      <c r="B93" s="39" t="s">
        <v>1</v>
      </c>
      <c r="C93" s="236" t="s">
        <v>66</v>
      </c>
      <c r="D93" s="299">
        <v>20981</v>
      </c>
      <c r="E93" s="273" t="s">
        <v>211</v>
      </c>
      <c r="F93" s="127"/>
      <c r="G93" s="129"/>
      <c r="H93" s="129"/>
      <c r="I93" s="128"/>
      <c r="J93" s="84"/>
      <c r="K93" s="120"/>
      <c r="L93" s="241">
        <v>850000</v>
      </c>
      <c r="M93" s="369">
        <f t="shared" si="11"/>
        <v>900000</v>
      </c>
      <c r="N93" s="370">
        <f t="shared" si="12"/>
        <v>950000</v>
      </c>
      <c r="O93" s="465"/>
      <c r="P93" s="82"/>
      <c r="Q93" s="82"/>
      <c r="R93" s="127"/>
      <c r="S93" s="126">
        <f t="shared" si="8"/>
        <v>900000</v>
      </c>
      <c r="V93" s="34" t="str">
        <f t="shared" si="9"/>
        <v>120981</v>
      </c>
      <c r="W93" s="34" t="str">
        <f t="shared" si="10"/>
        <v>220981</v>
      </c>
    </row>
    <row r="94" spans="1:23" s="38" customFormat="1" ht="20.25" customHeight="1" x14ac:dyDescent="0.2">
      <c r="A94" s="104">
        <v>9</v>
      </c>
      <c r="B94" s="39" t="s">
        <v>1</v>
      </c>
      <c r="C94" s="236" t="s">
        <v>66</v>
      </c>
      <c r="D94" s="299">
        <v>20982</v>
      </c>
      <c r="E94" s="92" t="s">
        <v>210</v>
      </c>
      <c r="F94" s="127"/>
      <c r="G94" s="129"/>
      <c r="H94" s="129"/>
      <c r="I94" s="128"/>
      <c r="J94" s="84"/>
      <c r="K94" s="120"/>
      <c r="L94" s="241">
        <v>850000</v>
      </c>
      <c r="M94" s="369">
        <f t="shared" si="11"/>
        <v>900000</v>
      </c>
      <c r="N94" s="370">
        <f t="shared" si="12"/>
        <v>950000</v>
      </c>
      <c r="O94" s="465"/>
      <c r="P94" s="82"/>
      <c r="Q94" s="82"/>
      <c r="R94" s="127"/>
      <c r="S94" s="126">
        <f t="shared" si="8"/>
        <v>900000</v>
      </c>
      <c r="V94" s="34" t="str">
        <f t="shared" si="9"/>
        <v>120982</v>
      </c>
      <c r="W94" s="34" t="str">
        <f t="shared" si="10"/>
        <v>220982</v>
      </c>
    </row>
    <row r="95" spans="1:23" s="38" customFormat="1" ht="20.25" customHeight="1" x14ac:dyDescent="0.2">
      <c r="A95" s="104">
        <v>10</v>
      </c>
      <c r="B95" s="39" t="s">
        <v>1</v>
      </c>
      <c r="C95" s="236" t="s">
        <v>66</v>
      </c>
      <c r="D95" s="299">
        <v>20983</v>
      </c>
      <c r="E95" s="92" t="s">
        <v>209</v>
      </c>
      <c r="F95" s="127"/>
      <c r="G95" s="129"/>
      <c r="H95" s="129"/>
      <c r="I95" s="128"/>
      <c r="J95" s="84"/>
      <c r="K95" s="120"/>
      <c r="L95" s="240">
        <v>850000</v>
      </c>
      <c r="M95" s="369">
        <f t="shared" si="11"/>
        <v>900000</v>
      </c>
      <c r="N95" s="370">
        <f t="shared" si="12"/>
        <v>950000</v>
      </c>
      <c r="O95" s="465"/>
      <c r="P95" s="82"/>
      <c r="Q95" s="82"/>
      <c r="R95" s="127"/>
      <c r="S95" s="126">
        <f t="shared" si="8"/>
        <v>900000</v>
      </c>
      <c r="V95" s="34" t="str">
        <f t="shared" si="9"/>
        <v>120983</v>
      </c>
      <c r="W95" s="34" t="str">
        <f t="shared" si="10"/>
        <v>220983</v>
      </c>
    </row>
    <row r="96" spans="1:23" s="38" customFormat="1" ht="20.25" customHeight="1" x14ac:dyDescent="0.2">
      <c r="A96" s="104">
        <v>11</v>
      </c>
      <c r="B96" s="39" t="s">
        <v>1</v>
      </c>
      <c r="C96" s="236" t="s">
        <v>66</v>
      </c>
      <c r="D96" s="299">
        <v>20984</v>
      </c>
      <c r="E96" s="272" t="s">
        <v>208</v>
      </c>
      <c r="F96" s="127"/>
      <c r="G96" s="129"/>
      <c r="H96" s="129"/>
      <c r="I96" s="128"/>
      <c r="J96" s="84"/>
      <c r="K96" s="120"/>
      <c r="L96" s="241">
        <v>750000</v>
      </c>
      <c r="M96" s="369">
        <f t="shared" si="11"/>
        <v>800000</v>
      </c>
      <c r="N96" s="370">
        <f t="shared" si="12"/>
        <v>850000</v>
      </c>
      <c r="O96" s="465"/>
      <c r="P96" s="82"/>
      <c r="Q96" s="82"/>
      <c r="R96" s="127"/>
      <c r="S96" s="126">
        <f t="shared" si="8"/>
        <v>800000</v>
      </c>
      <c r="V96" s="34" t="str">
        <f t="shared" si="9"/>
        <v>120984</v>
      </c>
      <c r="W96" s="34" t="str">
        <f t="shared" si="10"/>
        <v>220984</v>
      </c>
    </row>
    <row r="97" spans="1:23" s="38" customFormat="1" ht="20.25" customHeight="1" x14ac:dyDescent="0.2">
      <c r="A97" s="104">
        <v>12</v>
      </c>
      <c r="B97" s="39" t="s">
        <v>1</v>
      </c>
      <c r="C97" s="236" t="s">
        <v>66</v>
      </c>
      <c r="D97" s="299">
        <v>20985</v>
      </c>
      <c r="E97" s="92" t="s">
        <v>207</v>
      </c>
      <c r="F97" s="127"/>
      <c r="G97" s="129"/>
      <c r="H97" s="129"/>
      <c r="I97" s="128"/>
      <c r="J97" s="84"/>
      <c r="K97" s="120"/>
      <c r="L97" s="241">
        <v>850000</v>
      </c>
      <c r="M97" s="369">
        <f t="shared" si="11"/>
        <v>900000</v>
      </c>
      <c r="N97" s="370">
        <f t="shared" si="12"/>
        <v>950000</v>
      </c>
      <c r="O97" s="465"/>
      <c r="P97" s="82"/>
      <c r="Q97" s="82"/>
      <c r="R97" s="127"/>
      <c r="S97" s="126">
        <f t="shared" si="8"/>
        <v>900000</v>
      </c>
      <c r="V97" s="34" t="str">
        <f t="shared" si="9"/>
        <v>120985</v>
      </c>
      <c r="W97" s="34" t="str">
        <f t="shared" si="10"/>
        <v>220985</v>
      </c>
    </row>
    <row r="98" spans="1:23" s="38" customFormat="1" ht="20.25" customHeight="1" x14ac:dyDescent="0.2">
      <c r="A98" s="104">
        <v>13</v>
      </c>
      <c r="B98" s="39" t="s">
        <v>1</v>
      </c>
      <c r="C98" s="236" t="s">
        <v>66</v>
      </c>
      <c r="D98" s="299">
        <v>20986</v>
      </c>
      <c r="E98" s="272" t="s">
        <v>206</v>
      </c>
      <c r="F98" s="127"/>
      <c r="G98" s="129"/>
      <c r="H98" s="129"/>
      <c r="I98" s="128"/>
      <c r="J98" s="84"/>
      <c r="K98" s="120"/>
      <c r="L98" s="241">
        <v>850000</v>
      </c>
      <c r="M98" s="369">
        <f t="shared" si="11"/>
        <v>900000</v>
      </c>
      <c r="N98" s="370">
        <f t="shared" si="12"/>
        <v>950000</v>
      </c>
      <c r="O98" s="465"/>
      <c r="P98" s="82"/>
      <c r="Q98" s="82"/>
      <c r="R98" s="127"/>
      <c r="S98" s="126">
        <f t="shared" si="8"/>
        <v>900000</v>
      </c>
      <c r="V98" s="34" t="str">
        <f t="shared" si="9"/>
        <v>120986</v>
      </c>
      <c r="W98" s="34" t="str">
        <f t="shared" si="10"/>
        <v>220986</v>
      </c>
    </row>
    <row r="99" spans="1:23" s="38" customFormat="1" ht="20.25" customHeight="1" x14ac:dyDescent="0.2">
      <c r="A99" s="104">
        <v>14</v>
      </c>
      <c r="B99" s="39" t="s">
        <v>1</v>
      </c>
      <c r="C99" s="236" t="s">
        <v>66</v>
      </c>
      <c r="D99" s="299">
        <v>20987</v>
      </c>
      <c r="E99" s="92" t="s">
        <v>205</v>
      </c>
      <c r="F99" s="127"/>
      <c r="G99" s="129"/>
      <c r="H99" s="129"/>
      <c r="I99" s="128"/>
      <c r="J99" s="84"/>
      <c r="K99" s="120"/>
      <c r="L99" s="240">
        <v>850000</v>
      </c>
      <c r="M99" s="369">
        <f t="shared" si="11"/>
        <v>900000</v>
      </c>
      <c r="N99" s="370">
        <f t="shared" si="12"/>
        <v>950000</v>
      </c>
      <c r="O99" s="465"/>
      <c r="P99" s="82"/>
      <c r="Q99" s="82"/>
      <c r="R99" s="127"/>
      <c r="S99" s="126">
        <f t="shared" si="8"/>
        <v>900000</v>
      </c>
      <c r="V99" s="34" t="str">
        <f t="shared" si="9"/>
        <v>120987</v>
      </c>
      <c r="W99" s="34" t="str">
        <f t="shared" si="10"/>
        <v>220987</v>
      </c>
    </row>
    <row r="100" spans="1:23" s="38" customFormat="1" ht="20.25" customHeight="1" x14ac:dyDescent="0.2">
      <c r="A100" s="104">
        <v>15</v>
      </c>
      <c r="B100" s="39" t="s">
        <v>1</v>
      </c>
      <c r="C100" s="236" t="s">
        <v>66</v>
      </c>
      <c r="D100" s="299">
        <v>20988</v>
      </c>
      <c r="E100" s="92" t="s">
        <v>204</v>
      </c>
      <c r="F100" s="127"/>
      <c r="G100" s="129"/>
      <c r="H100" s="129"/>
      <c r="I100" s="128"/>
      <c r="J100" s="84"/>
      <c r="K100" s="120"/>
      <c r="L100" s="241">
        <v>750000</v>
      </c>
      <c r="M100" s="369">
        <f t="shared" si="11"/>
        <v>800000</v>
      </c>
      <c r="N100" s="370">
        <f t="shared" si="12"/>
        <v>850000</v>
      </c>
      <c r="O100" s="465"/>
      <c r="P100" s="82"/>
      <c r="Q100" s="82"/>
      <c r="R100" s="127"/>
      <c r="S100" s="126">
        <f t="shared" si="8"/>
        <v>800000</v>
      </c>
      <c r="V100" s="34" t="str">
        <f t="shared" si="9"/>
        <v>120988</v>
      </c>
      <c r="W100" s="34" t="str">
        <f t="shared" si="10"/>
        <v>220988</v>
      </c>
    </row>
    <row r="101" spans="1:23" s="528" customFormat="1" ht="20.25" customHeight="1" x14ac:dyDescent="0.2">
      <c r="A101" s="529">
        <v>16</v>
      </c>
      <c r="B101" s="530" t="s">
        <v>1</v>
      </c>
      <c r="C101" s="517" t="s">
        <v>66</v>
      </c>
      <c r="D101" s="659">
        <v>20989</v>
      </c>
      <c r="E101" s="660" t="s">
        <v>203</v>
      </c>
      <c r="F101" s="526"/>
      <c r="G101" s="661"/>
      <c r="H101" s="661"/>
      <c r="I101" s="661"/>
      <c r="J101" s="603"/>
      <c r="K101" s="662"/>
      <c r="L101" s="663">
        <v>850000</v>
      </c>
      <c r="M101" s="664">
        <f t="shared" si="11"/>
        <v>900000</v>
      </c>
      <c r="N101" s="664">
        <f t="shared" si="12"/>
        <v>950000</v>
      </c>
      <c r="O101" s="665"/>
      <c r="P101" s="519"/>
      <c r="Q101" s="519"/>
      <c r="R101" s="526" t="s">
        <v>500</v>
      </c>
      <c r="S101" s="542">
        <f t="shared" si="8"/>
        <v>900000</v>
      </c>
      <c r="V101" s="528" t="str">
        <f t="shared" si="9"/>
        <v>120989</v>
      </c>
      <c r="W101" s="528" t="str">
        <f t="shared" si="10"/>
        <v>220989</v>
      </c>
    </row>
    <row r="102" spans="1:23" s="38" customFormat="1" ht="20.25" customHeight="1" x14ac:dyDescent="0.2">
      <c r="A102" s="104">
        <v>17</v>
      </c>
      <c r="B102" s="39" t="s">
        <v>1</v>
      </c>
      <c r="C102" s="236" t="s">
        <v>66</v>
      </c>
      <c r="D102" s="299">
        <v>20990</v>
      </c>
      <c r="E102" s="274" t="s">
        <v>202</v>
      </c>
      <c r="F102" s="127"/>
      <c r="G102" s="129"/>
      <c r="H102" s="129"/>
      <c r="I102" s="128"/>
      <c r="J102" s="84"/>
      <c r="K102" s="120"/>
      <c r="L102" s="240">
        <v>850000</v>
      </c>
      <c r="M102" s="369">
        <f t="shared" si="11"/>
        <v>900000</v>
      </c>
      <c r="N102" s="370">
        <f t="shared" si="12"/>
        <v>950000</v>
      </c>
      <c r="O102" s="465"/>
      <c r="P102" s="82"/>
      <c r="Q102" s="82"/>
      <c r="R102" s="127"/>
      <c r="S102" s="126">
        <f t="shared" si="8"/>
        <v>900000</v>
      </c>
      <c r="V102" s="34" t="str">
        <f t="shared" si="9"/>
        <v>120990</v>
      </c>
      <c r="W102" s="34" t="str">
        <f t="shared" si="10"/>
        <v>220990</v>
      </c>
    </row>
    <row r="103" spans="1:23" s="38" customFormat="1" ht="20.25" customHeight="1" x14ac:dyDescent="0.2">
      <c r="A103" s="104">
        <v>18</v>
      </c>
      <c r="B103" s="39" t="s">
        <v>1</v>
      </c>
      <c r="C103" s="236" t="s">
        <v>66</v>
      </c>
      <c r="D103" s="299">
        <v>20991</v>
      </c>
      <c r="E103" s="274" t="s">
        <v>201</v>
      </c>
      <c r="F103" s="127"/>
      <c r="G103" s="129"/>
      <c r="H103" s="129"/>
      <c r="I103" s="128"/>
      <c r="J103" s="84"/>
      <c r="K103" s="120"/>
      <c r="L103" s="293">
        <v>750000</v>
      </c>
      <c r="M103" s="369">
        <f t="shared" si="11"/>
        <v>800000</v>
      </c>
      <c r="N103" s="370">
        <f t="shared" si="12"/>
        <v>850000</v>
      </c>
      <c r="O103" s="465"/>
      <c r="P103" s="82"/>
      <c r="Q103" s="82"/>
      <c r="R103" s="127"/>
      <c r="S103" s="126">
        <f t="shared" si="8"/>
        <v>800000</v>
      </c>
      <c r="V103" s="34" t="str">
        <f t="shared" si="9"/>
        <v>120991</v>
      </c>
      <c r="W103" s="34" t="str">
        <f t="shared" si="10"/>
        <v>220991</v>
      </c>
    </row>
    <row r="104" spans="1:23" s="38" customFormat="1" ht="20.25" customHeight="1" x14ac:dyDescent="0.2">
      <c r="A104" s="104">
        <v>19</v>
      </c>
      <c r="B104" s="39" t="s">
        <v>1</v>
      </c>
      <c r="C104" s="236" t="s">
        <v>66</v>
      </c>
      <c r="D104" s="299">
        <v>20992</v>
      </c>
      <c r="E104" s="92" t="s">
        <v>200</v>
      </c>
      <c r="F104" s="127"/>
      <c r="G104" s="129"/>
      <c r="H104" s="129"/>
      <c r="I104" s="128"/>
      <c r="J104" s="84"/>
      <c r="K104" s="120"/>
      <c r="L104" s="242">
        <v>525000</v>
      </c>
      <c r="M104" s="369">
        <f t="shared" si="11"/>
        <v>575000</v>
      </c>
      <c r="N104" s="370">
        <f t="shared" si="12"/>
        <v>625000</v>
      </c>
      <c r="O104" s="465"/>
      <c r="P104" s="82"/>
      <c r="Q104" s="82"/>
      <c r="R104" s="127"/>
      <c r="S104" s="126">
        <f t="shared" si="8"/>
        <v>575000</v>
      </c>
      <c r="V104" s="34" t="str">
        <f t="shared" si="9"/>
        <v>120992</v>
      </c>
      <c r="W104" s="34" t="str">
        <f t="shared" si="10"/>
        <v>220992</v>
      </c>
    </row>
    <row r="105" spans="1:23" s="38" customFormat="1" ht="20.25" customHeight="1" x14ac:dyDescent="0.2">
      <c r="A105" s="104">
        <v>20</v>
      </c>
      <c r="B105" s="39" t="s">
        <v>1</v>
      </c>
      <c r="C105" s="236" t="s">
        <v>66</v>
      </c>
      <c r="D105" s="299">
        <v>20993</v>
      </c>
      <c r="E105" s="92" t="s">
        <v>199</v>
      </c>
      <c r="F105" s="127"/>
      <c r="G105" s="129"/>
      <c r="H105" s="129"/>
      <c r="I105" s="128"/>
      <c r="J105" s="84"/>
      <c r="K105" s="120"/>
      <c r="L105" s="242">
        <v>850000</v>
      </c>
      <c r="M105" s="369">
        <f t="shared" si="11"/>
        <v>900000</v>
      </c>
      <c r="N105" s="370">
        <f t="shared" si="12"/>
        <v>950000</v>
      </c>
      <c r="O105" s="465"/>
      <c r="P105" s="82"/>
      <c r="Q105" s="82"/>
      <c r="R105" s="127"/>
      <c r="S105" s="126">
        <f t="shared" si="8"/>
        <v>900000</v>
      </c>
      <c r="V105" s="34" t="str">
        <f t="shared" si="9"/>
        <v>120993</v>
      </c>
      <c r="W105" s="34" t="str">
        <f t="shared" si="10"/>
        <v>220993</v>
      </c>
    </row>
    <row r="106" spans="1:23" s="38" customFormat="1" ht="20.25" customHeight="1" x14ac:dyDescent="0.2">
      <c r="A106" s="104">
        <v>21</v>
      </c>
      <c r="B106" s="39" t="s">
        <v>1</v>
      </c>
      <c r="C106" s="236" t="s">
        <v>66</v>
      </c>
      <c r="D106" s="299">
        <v>20994</v>
      </c>
      <c r="E106" s="92" t="s">
        <v>198</v>
      </c>
      <c r="F106" s="127"/>
      <c r="G106" s="129"/>
      <c r="H106" s="129"/>
      <c r="I106" s="128"/>
      <c r="J106" s="84"/>
      <c r="K106" s="120"/>
      <c r="L106" s="243">
        <v>850000</v>
      </c>
      <c r="M106" s="369">
        <f t="shared" si="11"/>
        <v>900000</v>
      </c>
      <c r="N106" s="370">
        <f t="shared" si="12"/>
        <v>950000</v>
      </c>
      <c r="O106" s="465"/>
      <c r="P106" s="82"/>
      <c r="Q106" s="82"/>
      <c r="R106" s="127"/>
      <c r="S106" s="126">
        <f t="shared" si="8"/>
        <v>900000</v>
      </c>
      <c r="V106" s="34" t="str">
        <f t="shared" si="9"/>
        <v>120994</v>
      </c>
      <c r="W106" s="34" t="str">
        <f t="shared" si="10"/>
        <v>220994</v>
      </c>
    </row>
    <row r="107" spans="1:23" s="38" customFormat="1" ht="20.25" customHeight="1" x14ac:dyDescent="0.2">
      <c r="A107" s="104">
        <v>22</v>
      </c>
      <c r="B107" s="39" t="s">
        <v>1</v>
      </c>
      <c r="C107" s="236" t="s">
        <v>66</v>
      </c>
      <c r="D107" s="299">
        <v>20995</v>
      </c>
      <c r="E107" s="92" t="s">
        <v>197</v>
      </c>
      <c r="F107" s="127"/>
      <c r="G107" s="129"/>
      <c r="H107" s="129"/>
      <c r="I107" s="128"/>
      <c r="J107" s="84"/>
      <c r="K107" s="120"/>
      <c r="L107" s="244">
        <v>850000</v>
      </c>
      <c r="M107" s="369">
        <f t="shared" si="11"/>
        <v>900000</v>
      </c>
      <c r="N107" s="370">
        <f t="shared" si="12"/>
        <v>950000</v>
      </c>
      <c r="O107" s="465"/>
      <c r="P107" s="82"/>
      <c r="Q107" s="82"/>
      <c r="R107" s="127"/>
      <c r="S107" s="126">
        <f t="shared" si="8"/>
        <v>900000</v>
      </c>
      <c r="V107" s="34" t="str">
        <f t="shared" si="9"/>
        <v>120995</v>
      </c>
      <c r="W107" s="34" t="str">
        <f t="shared" si="10"/>
        <v>220995</v>
      </c>
    </row>
    <row r="108" spans="1:23" s="38" customFormat="1" ht="20.25" customHeight="1" x14ac:dyDescent="0.2">
      <c r="A108" s="104">
        <v>23</v>
      </c>
      <c r="B108" s="39" t="s">
        <v>1</v>
      </c>
      <c r="C108" s="236" t="s">
        <v>66</v>
      </c>
      <c r="D108" s="299">
        <v>20996</v>
      </c>
      <c r="E108" s="275" t="s">
        <v>196</v>
      </c>
      <c r="F108" s="127"/>
      <c r="G108" s="129"/>
      <c r="H108" s="129"/>
      <c r="I108" s="128"/>
      <c r="J108" s="84"/>
      <c r="K108" s="120"/>
      <c r="L108" s="244">
        <v>850000</v>
      </c>
      <c r="M108" s="369">
        <f t="shared" si="11"/>
        <v>900000</v>
      </c>
      <c r="N108" s="370">
        <f t="shared" si="12"/>
        <v>950000</v>
      </c>
      <c r="O108" s="465"/>
      <c r="P108" s="82"/>
      <c r="Q108" s="82"/>
      <c r="R108" s="127"/>
      <c r="S108" s="126">
        <f t="shared" si="8"/>
        <v>900000</v>
      </c>
      <c r="V108" s="34" t="str">
        <f t="shared" si="9"/>
        <v>120996</v>
      </c>
      <c r="W108" s="34" t="str">
        <f t="shared" si="10"/>
        <v>220996</v>
      </c>
    </row>
    <row r="109" spans="1:23" s="38" customFormat="1" ht="20.25" customHeight="1" x14ac:dyDescent="0.2">
      <c r="A109" s="80">
        <v>24</v>
      </c>
      <c r="B109" s="39" t="s">
        <v>1</v>
      </c>
      <c r="C109" s="236" t="s">
        <v>66</v>
      </c>
      <c r="D109" s="299">
        <v>20997</v>
      </c>
      <c r="E109" s="276" t="s">
        <v>195</v>
      </c>
      <c r="F109" s="127"/>
      <c r="G109" s="129"/>
      <c r="H109" s="129"/>
      <c r="I109" s="128"/>
      <c r="J109" s="84"/>
      <c r="K109" s="120"/>
      <c r="L109" s="244">
        <v>525000</v>
      </c>
      <c r="M109" s="369">
        <f t="shared" si="11"/>
        <v>575000</v>
      </c>
      <c r="N109" s="370">
        <f t="shared" si="12"/>
        <v>625000</v>
      </c>
      <c r="O109" s="465"/>
      <c r="P109" s="82"/>
      <c r="Q109" s="82"/>
      <c r="R109" s="127"/>
      <c r="S109" s="126">
        <f t="shared" si="8"/>
        <v>575000</v>
      </c>
      <c r="V109" s="34" t="str">
        <f t="shared" si="9"/>
        <v>120997</v>
      </c>
      <c r="W109" s="34" t="str">
        <f t="shared" si="10"/>
        <v>220997</v>
      </c>
    </row>
    <row r="110" spans="1:23" s="38" customFormat="1" ht="20.25" customHeight="1" x14ac:dyDescent="0.2">
      <c r="A110" s="80">
        <v>25</v>
      </c>
      <c r="B110" s="39" t="s">
        <v>1</v>
      </c>
      <c r="C110" s="236" t="s">
        <v>66</v>
      </c>
      <c r="D110" s="131" t="s">
        <v>194</v>
      </c>
      <c r="E110" s="277" t="s">
        <v>193</v>
      </c>
      <c r="F110" s="127"/>
      <c r="G110" s="129"/>
      <c r="H110" s="129"/>
      <c r="I110" s="128"/>
      <c r="J110" s="84"/>
      <c r="K110" s="120"/>
      <c r="L110" s="244">
        <v>525000</v>
      </c>
      <c r="M110" s="369">
        <f t="shared" si="11"/>
        <v>575000</v>
      </c>
      <c r="N110" s="370">
        <f t="shared" si="12"/>
        <v>625000</v>
      </c>
      <c r="O110" s="465"/>
      <c r="P110" s="82"/>
      <c r="Q110" s="82"/>
      <c r="R110" s="127"/>
      <c r="S110" s="126">
        <f t="shared" si="8"/>
        <v>575000</v>
      </c>
      <c r="V110" s="34" t="str">
        <f t="shared" si="9"/>
        <v>121015</v>
      </c>
      <c r="W110" s="34" t="str">
        <f t="shared" si="10"/>
        <v>221015</v>
      </c>
    </row>
    <row r="111" spans="1:23" s="38" customFormat="1" ht="20.25" customHeight="1" x14ac:dyDescent="0.2">
      <c r="A111" s="80">
        <v>26</v>
      </c>
      <c r="B111" s="39" t="s">
        <v>1</v>
      </c>
      <c r="C111" s="236" t="s">
        <v>66</v>
      </c>
      <c r="D111" s="131" t="s">
        <v>191</v>
      </c>
      <c r="E111" s="277" t="s">
        <v>190</v>
      </c>
      <c r="F111" s="127"/>
      <c r="G111" s="129"/>
      <c r="H111" s="129"/>
      <c r="I111" s="128"/>
      <c r="J111" s="84"/>
      <c r="K111" s="120"/>
      <c r="L111" s="244">
        <v>850000</v>
      </c>
      <c r="M111" s="369">
        <f t="shared" si="11"/>
        <v>900000</v>
      </c>
      <c r="N111" s="370">
        <f t="shared" si="12"/>
        <v>950000</v>
      </c>
      <c r="O111" s="465"/>
      <c r="P111" s="82"/>
      <c r="Q111" s="82"/>
      <c r="R111" s="127"/>
      <c r="S111" s="126">
        <f t="shared" si="8"/>
        <v>900000</v>
      </c>
      <c r="V111" s="34" t="str">
        <f t="shared" si="9"/>
        <v>121016</v>
      </c>
      <c r="W111" s="34" t="str">
        <f t="shared" si="10"/>
        <v>221016</v>
      </c>
    </row>
    <row r="112" spans="1:23" s="419" customFormat="1" ht="20.25" customHeight="1" x14ac:dyDescent="0.2">
      <c r="A112" s="407">
        <v>27</v>
      </c>
      <c r="B112" s="408" t="s">
        <v>1</v>
      </c>
      <c r="C112" s="409" t="s">
        <v>66</v>
      </c>
      <c r="D112" s="111" t="s">
        <v>549</v>
      </c>
      <c r="E112" s="410" t="s">
        <v>470</v>
      </c>
      <c r="F112" s="411"/>
      <c r="G112" s="412"/>
      <c r="H112" s="412"/>
      <c r="I112" s="412"/>
      <c r="J112" s="413"/>
      <c r="K112" s="414"/>
      <c r="L112" s="415"/>
      <c r="M112" s="416"/>
      <c r="N112" s="416">
        <v>650000</v>
      </c>
      <c r="O112" s="466"/>
      <c r="P112" s="417"/>
      <c r="Q112" s="417"/>
      <c r="R112" s="407"/>
      <c r="S112" s="418">
        <f t="shared" si="8"/>
        <v>0</v>
      </c>
      <c r="V112" s="419" t="str">
        <f t="shared" si="9"/>
        <v>121060</v>
      </c>
      <c r="W112" s="419" t="str">
        <f t="shared" si="10"/>
        <v>221060</v>
      </c>
    </row>
    <row r="113" spans="1:23" s="419" customFormat="1" ht="20.25" customHeight="1" x14ac:dyDescent="0.2">
      <c r="A113" s="407">
        <v>28</v>
      </c>
      <c r="B113" s="408" t="s">
        <v>1</v>
      </c>
      <c r="C113" s="409" t="s">
        <v>66</v>
      </c>
      <c r="D113" s="111" t="s">
        <v>550</v>
      </c>
      <c r="E113" s="410" t="s">
        <v>514</v>
      </c>
      <c r="F113" s="411"/>
      <c r="G113" s="412"/>
      <c r="H113" s="412"/>
      <c r="I113" s="412"/>
      <c r="J113" s="413"/>
      <c r="K113" s="414"/>
      <c r="L113" s="415"/>
      <c r="M113" s="416"/>
      <c r="N113" s="416">
        <v>900000</v>
      </c>
      <c r="O113" s="466"/>
      <c r="P113" s="417"/>
      <c r="Q113" s="417"/>
      <c r="R113" s="407"/>
      <c r="S113" s="418"/>
    </row>
    <row r="114" spans="1:23" s="38" customFormat="1" ht="20.25" customHeight="1" x14ac:dyDescent="0.2">
      <c r="A114" s="80"/>
      <c r="B114" s="133"/>
      <c r="C114" s="132"/>
      <c r="D114" s="364"/>
      <c r="E114" s="367"/>
      <c r="F114" s="365"/>
      <c r="G114" s="129"/>
      <c r="H114" s="129"/>
      <c r="I114" s="128"/>
      <c r="J114" s="84"/>
      <c r="K114" s="120"/>
      <c r="L114" s="233"/>
      <c r="M114" s="336"/>
      <c r="N114" s="371"/>
      <c r="O114" s="467"/>
      <c r="P114" s="82"/>
      <c r="Q114" s="82"/>
      <c r="R114" s="127"/>
      <c r="S114" s="126"/>
      <c r="V114" s="34"/>
      <c r="W114" s="34"/>
    </row>
    <row r="115" spans="1:23" s="38" customFormat="1" ht="20.25" customHeight="1" x14ac:dyDescent="0.2">
      <c r="A115" s="80"/>
      <c r="B115" s="133"/>
      <c r="C115" s="132"/>
      <c r="D115" s="364"/>
      <c r="E115" s="367"/>
      <c r="F115" s="365"/>
      <c r="G115" s="129"/>
      <c r="H115" s="129"/>
      <c r="I115" s="128"/>
      <c r="J115" s="84"/>
      <c r="K115" s="120"/>
      <c r="L115" s="233"/>
      <c r="M115" s="336"/>
      <c r="N115" s="371"/>
      <c r="O115" s="467"/>
      <c r="P115" s="82"/>
      <c r="Q115" s="82"/>
      <c r="R115" s="127"/>
      <c r="S115" s="126"/>
      <c r="V115" s="34"/>
      <c r="W115" s="34"/>
    </row>
    <row r="116" spans="1:23" s="13" customFormat="1" ht="20.25" customHeight="1" x14ac:dyDescent="0.2">
      <c r="A116" s="70"/>
      <c r="B116" s="70"/>
      <c r="C116" s="78"/>
      <c r="D116" s="125"/>
      <c r="E116" s="366"/>
      <c r="F116" s="70"/>
      <c r="G116" s="123"/>
      <c r="H116" s="123"/>
      <c r="I116" s="123"/>
      <c r="J116" s="75"/>
      <c r="K116" s="120"/>
      <c r="L116" s="122"/>
      <c r="M116" s="318">
        <f>SUM(M86:M112)</f>
        <v>22125000</v>
      </c>
      <c r="N116" s="322"/>
      <c r="O116" s="459"/>
      <c r="P116" s="186"/>
      <c r="Q116" s="186"/>
      <c r="R116" s="70"/>
      <c r="S116" s="279"/>
      <c r="V116" s="13" t="str">
        <f t="shared" si="9"/>
        <v>1</v>
      </c>
      <c r="W116" s="13" t="str">
        <f t="shared" si="10"/>
        <v>2</v>
      </c>
    </row>
    <row r="117" spans="1:23" s="103" customFormat="1" ht="20.25" customHeight="1" x14ac:dyDescent="0.2">
      <c r="A117" s="104">
        <v>1</v>
      </c>
      <c r="B117" s="39" t="s">
        <v>1</v>
      </c>
      <c r="C117" s="29" t="s">
        <v>5</v>
      </c>
      <c r="D117" s="300" t="s">
        <v>189</v>
      </c>
      <c r="E117" s="121" t="s">
        <v>188</v>
      </c>
      <c r="F117" s="109"/>
      <c r="G117" s="107"/>
      <c r="H117" s="107"/>
      <c r="I117" s="108"/>
      <c r="J117" s="107"/>
      <c r="K117" s="120">
        <v>800000</v>
      </c>
      <c r="L117" s="233">
        <f t="shared" ref="L117:L152" si="13">SUM(K117+75000)</f>
        <v>875000</v>
      </c>
      <c r="M117" s="336">
        <f>SUM(L117+50000)</f>
        <v>925000</v>
      </c>
      <c r="N117" s="371">
        <f>SUM(M117+50000)</f>
        <v>975000</v>
      </c>
      <c r="O117" s="468"/>
      <c r="P117" s="105"/>
      <c r="Q117" s="105"/>
      <c r="R117" s="104"/>
      <c r="S117" s="126">
        <f t="shared" ref="S117:S151" si="14">SUM(M117)</f>
        <v>925000</v>
      </c>
      <c r="V117" s="34" t="str">
        <f t="shared" si="9"/>
        <v>120933</v>
      </c>
      <c r="W117" s="34" t="str">
        <f t="shared" si="10"/>
        <v>220933</v>
      </c>
    </row>
    <row r="118" spans="1:23" s="103" customFormat="1" ht="20.25" customHeight="1" x14ac:dyDescent="0.2">
      <c r="A118" s="104">
        <v>2</v>
      </c>
      <c r="B118" s="30" t="s">
        <v>1</v>
      </c>
      <c r="C118" s="29" t="s">
        <v>5</v>
      </c>
      <c r="D118" s="300" t="s">
        <v>187</v>
      </c>
      <c r="E118" s="36" t="s">
        <v>186</v>
      </c>
      <c r="F118" s="109"/>
      <c r="G118" s="107"/>
      <c r="H118" s="107"/>
      <c r="I118" s="108"/>
      <c r="J118" s="107"/>
      <c r="K118" s="120">
        <v>800000</v>
      </c>
      <c r="L118" s="233">
        <f t="shared" si="13"/>
        <v>875000</v>
      </c>
      <c r="M118" s="336">
        <f t="shared" ref="M118:M152" si="15">SUM(L118+50000)</f>
        <v>925000</v>
      </c>
      <c r="N118" s="371">
        <f t="shared" ref="N118:N152" si="16">SUM(M118+50000)</f>
        <v>975000</v>
      </c>
      <c r="O118" s="468"/>
      <c r="P118" s="105"/>
      <c r="Q118" s="105"/>
      <c r="R118" s="104"/>
      <c r="S118" s="126">
        <f t="shared" si="14"/>
        <v>925000</v>
      </c>
      <c r="V118" s="34" t="str">
        <f t="shared" si="9"/>
        <v>120934</v>
      </c>
      <c r="W118" s="34" t="str">
        <f t="shared" si="10"/>
        <v>220934</v>
      </c>
    </row>
    <row r="119" spans="1:23" s="103" customFormat="1" ht="20.25" customHeight="1" x14ac:dyDescent="0.2">
      <c r="A119" s="104">
        <v>3</v>
      </c>
      <c r="B119" s="39" t="s">
        <v>1</v>
      </c>
      <c r="C119" s="29" t="s">
        <v>5</v>
      </c>
      <c r="D119" s="300" t="s">
        <v>185</v>
      </c>
      <c r="E119" s="36" t="s">
        <v>184</v>
      </c>
      <c r="F119" s="109"/>
      <c r="G119" s="107"/>
      <c r="H119" s="107"/>
      <c r="I119" s="108"/>
      <c r="J119" s="107"/>
      <c r="K119" s="120">
        <v>800000</v>
      </c>
      <c r="L119" s="233">
        <f t="shared" si="13"/>
        <v>875000</v>
      </c>
      <c r="M119" s="336">
        <f t="shared" si="15"/>
        <v>925000</v>
      </c>
      <c r="N119" s="371">
        <f t="shared" si="16"/>
        <v>975000</v>
      </c>
      <c r="O119" s="468"/>
      <c r="P119" s="105"/>
      <c r="Q119" s="105"/>
      <c r="R119" s="104"/>
      <c r="S119" s="126">
        <f t="shared" si="14"/>
        <v>925000</v>
      </c>
      <c r="V119" s="34" t="str">
        <f t="shared" si="9"/>
        <v>120935</v>
      </c>
      <c r="W119" s="34" t="str">
        <f t="shared" si="10"/>
        <v>220935</v>
      </c>
    </row>
    <row r="120" spans="1:23" s="103" customFormat="1" ht="20.25" customHeight="1" x14ac:dyDescent="0.2">
      <c r="A120" s="104">
        <v>4</v>
      </c>
      <c r="B120" s="39" t="s">
        <v>1</v>
      </c>
      <c r="C120" s="29" t="s">
        <v>5</v>
      </c>
      <c r="D120" s="300" t="s">
        <v>183</v>
      </c>
      <c r="E120" s="36" t="s">
        <v>182</v>
      </c>
      <c r="F120" s="109"/>
      <c r="G120" s="107"/>
      <c r="H120" s="107"/>
      <c r="I120" s="108"/>
      <c r="J120" s="107"/>
      <c r="K120" s="120">
        <v>800000</v>
      </c>
      <c r="L120" s="233">
        <f t="shared" si="13"/>
        <v>875000</v>
      </c>
      <c r="M120" s="336">
        <f t="shared" si="15"/>
        <v>925000</v>
      </c>
      <c r="N120" s="371">
        <f t="shared" si="16"/>
        <v>975000</v>
      </c>
      <c r="O120" s="468"/>
      <c r="P120" s="105"/>
      <c r="Q120" s="105"/>
      <c r="R120" s="104"/>
      <c r="S120" s="126">
        <f t="shared" si="14"/>
        <v>925000</v>
      </c>
      <c r="V120" s="34" t="str">
        <f t="shared" si="9"/>
        <v>120936</v>
      </c>
      <c r="W120" s="34" t="str">
        <f t="shared" si="10"/>
        <v>220936</v>
      </c>
    </row>
    <row r="121" spans="1:23" s="103" customFormat="1" ht="20.25" customHeight="1" x14ac:dyDescent="0.2">
      <c r="A121" s="104">
        <v>5</v>
      </c>
      <c r="B121" s="39" t="s">
        <v>1</v>
      </c>
      <c r="C121" s="29" t="s">
        <v>5</v>
      </c>
      <c r="D121" s="300" t="s">
        <v>181</v>
      </c>
      <c r="E121" s="36" t="s">
        <v>180</v>
      </c>
      <c r="F121" s="109"/>
      <c r="G121" s="107"/>
      <c r="H121" s="107"/>
      <c r="I121" s="108"/>
      <c r="J121" s="107"/>
      <c r="K121" s="120">
        <v>800000</v>
      </c>
      <c r="L121" s="233">
        <f t="shared" si="13"/>
        <v>875000</v>
      </c>
      <c r="M121" s="336">
        <f t="shared" si="15"/>
        <v>925000</v>
      </c>
      <c r="N121" s="371">
        <f t="shared" si="16"/>
        <v>975000</v>
      </c>
      <c r="O121" s="468"/>
      <c r="P121" s="105"/>
      <c r="Q121" s="105"/>
      <c r="R121" s="104"/>
      <c r="S121" s="126">
        <f t="shared" si="14"/>
        <v>925000</v>
      </c>
      <c r="V121" s="34" t="str">
        <f t="shared" ref="V121:V152" si="17">"1"&amp;D121</f>
        <v>120937</v>
      </c>
      <c r="W121" s="34" t="str">
        <f t="shared" ref="W121:W152" si="18">"2"&amp;D121</f>
        <v>220937</v>
      </c>
    </row>
    <row r="122" spans="1:23" s="103" customFormat="1" ht="20.25" customHeight="1" x14ac:dyDescent="0.2">
      <c r="A122" s="104">
        <v>6</v>
      </c>
      <c r="B122" s="39" t="s">
        <v>1</v>
      </c>
      <c r="C122" s="29" t="s">
        <v>5</v>
      </c>
      <c r="D122" s="300" t="s">
        <v>179</v>
      </c>
      <c r="E122" s="36" t="s">
        <v>178</v>
      </c>
      <c r="F122" s="109"/>
      <c r="G122" s="107"/>
      <c r="H122" s="107"/>
      <c r="I122" s="108"/>
      <c r="J122" s="107"/>
      <c r="K122" s="113">
        <v>800000</v>
      </c>
      <c r="L122" s="233">
        <f t="shared" si="13"/>
        <v>875000</v>
      </c>
      <c r="M122" s="336">
        <f t="shared" si="15"/>
        <v>925000</v>
      </c>
      <c r="N122" s="371">
        <f t="shared" si="16"/>
        <v>975000</v>
      </c>
      <c r="O122" s="468"/>
      <c r="P122" s="105"/>
      <c r="Q122" s="105"/>
      <c r="R122" s="104"/>
      <c r="S122" s="126">
        <f t="shared" si="14"/>
        <v>925000</v>
      </c>
      <c r="V122" s="34" t="str">
        <f t="shared" si="17"/>
        <v>120938</v>
      </c>
      <c r="W122" s="34" t="str">
        <f t="shared" si="18"/>
        <v>220938</v>
      </c>
    </row>
    <row r="123" spans="1:23" s="103" customFormat="1" ht="20.25" customHeight="1" x14ac:dyDescent="0.2">
      <c r="A123" s="104">
        <v>7</v>
      </c>
      <c r="B123" s="39" t="s">
        <v>1</v>
      </c>
      <c r="C123" s="29" t="s">
        <v>5</v>
      </c>
      <c r="D123" s="300" t="s">
        <v>177</v>
      </c>
      <c r="E123" s="36" t="s">
        <v>176</v>
      </c>
      <c r="F123" s="109"/>
      <c r="G123" s="107"/>
      <c r="H123" s="107"/>
      <c r="I123" s="108"/>
      <c r="J123" s="107"/>
      <c r="K123" s="113">
        <v>800000</v>
      </c>
      <c r="L123" s="233">
        <f t="shared" si="13"/>
        <v>875000</v>
      </c>
      <c r="M123" s="336">
        <f t="shared" si="15"/>
        <v>925000</v>
      </c>
      <c r="N123" s="371">
        <f t="shared" si="16"/>
        <v>975000</v>
      </c>
      <c r="O123" s="468"/>
      <c r="P123" s="105"/>
      <c r="Q123" s="105"/>
      <c r="R123" s="104"/>
      <c r="S123" s="126">
        <f t="shared" si="14"/>
        <v>925000</v>
      </c>
      <c r="V123" s="34" t="str">
        <f t="shared" si="17"/>
        <v>120939</v>
      </c>
      <c r="W123" s="34" t="str">
        <f t="shared" si="18"/>
        <v>220939</v>
      </c>
    </row>
    <row r="124" spans="1:23" s="103" customFormat="1" ht="20.25" customHeight="1" x14ac:dyDescent="0.2">
      <c r="A124" s="104">
        <v>8</v>
      </c>
      <c r="B124" s="39" t="s">
        <v>1</v>
      </c>
      <c r="C124" s="29" t="s">
        <v>5</v>
      </c>
      <c r="D124" s="300" t="s">
        <v>175</v>
      </c>
      <c r="E124" s="36" t="s">
        <v>174</v>
      </c>
      <c r="F124" s="109"/>
      <c r="G124" s="107"/>
      <c r="H124" s="107"/>
      <c r="I124" s="108"/>
      <c r="J124" s="107"/>
      <c r="K124" s="120">
        <v>800000</v>
      </c>
      <c r="L124" s="233">
        <f t="shared" si="13"/>
        <v>875000</v>
      </c>
      <c r="M124" s="336">
        <f t="shared" si="15"/>
        <v>925000</v>
      </c>
      <c r="N124" s="371">
        <f t="shared" si="16"/>
        <v>975000</v>
      </c>
      <c r="O124" s="468"/>
      <c r="P124" s="105"/>
      <c r="Q124" s="105"/>
      <c r="R124" s="104"/>
      <c r="S124" s="126">
        <f t="shared" si="14"/>
        <v>925000</v>
      </c>
      <c r="V124" s="34" t="str">
        <f t="shared" si="17"/>
        <v>120940</v>
      </c>
      <c r="W124" s="34" t="str">
        <f t="shared" si="18"/>
        <v>220940</v>
      </c>
    </row>
    <row r="125" spans="1:23" s="103" customFormat="1" ht="20.25" customHeight="1" x14ac:dyDescent="0.2">
      <c r="A125" s="104">
        <v>9</v>
      </c>
      <c r="B125" s="39" t="s">
        <v>1</v>
      </c>
      <c r="C125" s="29" t="s">
        <v>5</v>
      </c>
      <c r="D125" s="300" t="s">
        <v>173</v>
      </c>
      <c r="E125" s="36" t="s">
        <v>172</v>
      </c>
      <c r="F125" s="109"/>
      <c r="G125" s="107"/>
      <c r="H125" s="107"/>
      <c r="I125" s="108"/>
      <c r="J125" s="107"/>
      <c r="K125" s="113">
        <v>800000</v>
      </c>
      <c r="L125" s="233">
        <f t="shared" si="13"/>
        <v>875000</v>
      </c>
      <c r="M125" s="336">
        <f t="shared" si="15"/>
        <v>925000</v>
      </c>
      <c r="N125" s="371">
        <f t="shared" si="16"/>
        <v>975000</v>
      </c>
      <c r="O125" s="468"/>
      <c r="P125" s="105"/>
      <c r="Q125" s="105"/>
      <c r="R125" s="104"/>
      <c r="S125" s="126">
        <f t="shared" si="14"/>
        <v>925000</v>
      </c>
      <c r="V125" s="34" t="str">
        <f t="shared" si="17"/>
        <v>120941</v>
      </c>
      <c r="W125" s="34" t="str">
        <f t="shared" si="18"/>
        <v>220941</v>
      </c>
    </row>
    <row r="126" spans="1:23" s="103" customFormat="1" ht="20.25" customHeight="1" x14ac:dyDescent="0.2">
      <c r="A126" s="104">
        <v>10</v>
      </c>
      <c r="B126" s="30" t="s">
        <v>1</v>
      </c>
      <c r="C126" s="29" t="s">
        <v>5</v>
      </c>
      <c r="D126" s="300" t="s">
        <v>171</v>
      </c>
      <c r="E126" s="121" t="s">
        <v>170</v>
      </c>
      <c r="F126" s="109"/>
      <c r="G126" s="107"/>
      <c r="H126" s="107"/>
      <c r="I126" s="108"/>
      <c r="J126" s="107"/>
      <c r="K126" s="113">
        <v>800000</v>
      </c>
      <c r="L126" s="233">
        <f t="shared" si="13"/>
        <v>875000</v>
      </c>
      <c r="M126" s="336">
        <f t="shared" si="15"/>
        <v>925000</v>
      </c>
      <c r="N126" s="371">
        <f t="shared" si="16"/>
        <v>975000</v>
      </c>
      <c r="O126" s="468"/>
      <c r="P126" s="105"/>
      <c r="Q126" s="105"/>
      <c r="R126" s="104"/>
      <c r="S126" s="126">
        <f t="shared" si="14"/>
        <v>925000</v>
      </c>
      <c r="V126" s="34" t="str">
        <f t="shared" si="17"/>
        <v>120942</v>
      </c>
      <c r="W126" s="34" t="str">
        <f t="shared" si="18"/>
        <v>220942</v>
      </c>
    </row>
    <row r="127" spans="1:23" s="103" customFormat="1" ht="20.25" customHeight="1" x14ac:dyDescent="0.2">
      <c r="A127" s="104">
        <v>11</v>
      </c>
      <c r="B127" s="39" t="s">
        <v>1</v>
      </c>
      <c r="C127" s="29" t="s">
        <v>5</v>
      </c>
      <c r="D127" s="300" t="s">
        <v>169</v>
      </c>
      <c r="E127" s="32" t="s">
        <v>168</v>
      </c>
      <c r="F127" s="109"/>
      <c r="G127" s="107"/>
      <c r="H127" s="107"/>
      <c r="I127" s="108"/>
      <c r="J127" s="107"/>
      <c r="K127" s="120">
        <v>800000</v>
      </c>
      <c r="L127" s="233">
        <f t="shared" si="13"/>
        <v>875000</v>
      </c>
      <c r="M127" s="336">
        <f t="shared" si="15"/>
        <v>925000</v>
      </c>
      <c r="N127" s="371">
        <f t="shared" si="16"/>
        <v>975000</v>
      </c>
      <c r="O127" s="468"/>
      <c r="P127" s="105"/>
      <c r="Q127" s="105"/>
      <c r="R127" s="104"/>
      <c r="S127" s="126">
        <f t="shared" si="14"/>
        <v>925000</v>
      </c>
      <c r="V127" s="34" t="str">
        <f t="shared" si="17"/>
        <v>120943</v>
      </c>
      <c r="W127" s="34" t="str">
        <f t="shared" si="18"/>
        <v>220943</v>
      </c>
    </row>
    <row r="128" spans="1:23" s="103" customFormat="1" ht="20.25" customHeight="1" x14ac:dyDescent="0.2">
      <c r="A128" s="104">
        <v>12</v>
      </c>
      <c r="B128" s="39" t="s">
        <v>1</v>
      </c>
      <c r="C128" s="29" t="s">
        <v>5</v>
      </c>
      <c r="D128" s="300" t="s">
        <v>167</v>
      </c>
      <c r="E128" s="121" t="s">
        <v>166</v>
      </c>
      <c r="F128" s="109"/>
      <c r="G128" s="107"/>
      <c r="H128" s="107"/>
      <c r="I128" s="108"/>
      <c r="J128" s="107"/>
      <c r="K128" s="113">
        <v>800000</v>
      </c>
      <c r="L128" s="233">
        <f t="shared" si="13"/>
        <v>875000</v>
      </c>
      <c r="M128" s="336">
        <f t="shared" si="15"/>
        <v>925000</v>
      </c>
      <c r="N128" s="371">
        <f t="shared" si="16"/>
        <v>975000</v>
      </c>
      <c r="O128" s="468"/>
      <c r="P128" s="105"/>
      <c r="Q128" s="105"/>
      <c r="R128" s="104"/>
      <c r="S128" s="126">
        <f t="shared" si="14"/>
        <v>925000</v>
      </c>
      <c r="V128" s="34" t="str">
        <f t="shared" si="17"/>
        <v>120944</v>
      </c>
      <c r="W128" s="34" t="str">
        <f t="shared" si="18"/>
        <v>220944</v>
      </c>
    </row>
    <row r="129" spans="1:23" s="103" customFormat="1" ht="20.25" customHeight="1" x14ac:dyDescent="0.2">
      <c r="A129" s="104">
        <v>13</v>
      </c>
      <c r="B129" s="39" t="s">
        <v>1</v>
      </c>
      <c r="C129" s="29" t="s">
        <v>5</v>
      </c>
      <c r="D129" s="300" t="s">
        <v>165</v>
      </c>
      <c r="E129" s="36" t="s">
        <v>164</v>
      </c>
      <c r="F129" s="109"/>
      <c r="G129" s="107"/>
      <c r="H129" s="107"/>
      <c r="I129" s="108"/>
      <c r="J129" s="107"/>
      <c r="K129" s="113">
        <v>800000</v>
      </c>
      <c r="L129" s="233">
        <f t="shared" si="13"/>
        <v>875000</v>
      </c>
      <c r="M129" s="336">
        <f t="shared" si="15"/>
        <v>925000</v>
      </c>
      <c r="N129" s="371">
        <f t="shared" si="16"/>
        <v>975000</v>
      </c>
      <c r="O129" s="468"/>
      <c r="P129" s="105"/>
      <c r="Q129" s="105"/>
      <c r="R129" s="104"/>
      <c r="S129" s="126">
        <f t="shared" si="14"/>
        <v>925000</v>
      </c>
      <c r="V129" s="34" t="str">
        <f t="shared" si="17"/>
        <v>120945</v>
      </c>
      <c r="W129" s="34" t="str">
        <f t="shared" si="18"/>
        <v>220945</v>
      </c>
    </row>
    <row r="130" spans="1:23" s="103" customFormat="1" ht="20.25" customHeight="1" x14ac:dyDescent="0.2">
      <c r="A130" s="104">
        <v>14</v>
      </c>
      <c r="B130" s="39" t="s">
        <v>1</v>
      </c>
      <c r="C130" s="29" t="s">
        <v>5</v>
      </c>
      <c r="D130" s="300" t="s">
        <v>163</v>
      </c>
      <c r="E130" s="36" t="s">
        <v>162</v>
      </c>
      <c r="F130" s="109"/>
      <c r="G130" s="107"/>
      <c r="H130" s="107"/>
      <c r="I130" s="108"/>
      <c r="J130" s="107"/>
      <c r="K130" s="113">
        <v>800000</v>
      </c>
      <c r="L130" s="233">
        <f t="shared" si="13"/>
        <v>875000</v>
      </c>
      <c r="M130" s="336">
        <f t="shared" si="15"/>
        <v>925000</v>
      </c>
      <c r="N130" s="371">
        <f t="shared" si="16"/>
        <v>975000</v>
      </c>
      <c r="O130" s="468"/>
      <c r="P130" s="105"/>
      <c r="Q130" s="105"/>
      <c r="R130" s="104"/>
      <c r="S130" s="126">
        <f t="shared" si="14"/>
        <v>925000</v>
      </c>
      <c r="V130" s="34" t="str">
        <f t="shared" si="17"/>
        <v>120946</v>
      </c>
      <c r="W130" s="34" t="str">
        <f t="shared" si="18"/>
        <v>220946</v>
      </c>
    </row>
    <row r="131" spans="1:23" s="103" customFormat="1" ht="20.25" customHeight="1" x14ac:dyDescent="0.2">
      <c r="A131" s="104">
        <v>15</v>
      </c>
      <c r="B131" s="39" t="s">
        <v>1</v>
      </c>
      <c r="C131" s="29" t="s">
        <v>5</v>
      </c>
      <c r="D131" s="300" t="s">
        <v>161</v>
      </c>
      <c r="E131" s="36" t="s">
        <v>160</v>
      </c>
      <c r="F131" s="109"/>
      <c r="G131" s="107"/>
      <c r="H131" s="107"/>
      <c r="I131" s="108"/>
      <c r="J131" s="107"/>
      <c r="K131" s="113">
        <v>800000</v>
      </c>
      <c r="L131" s="233">
        <f t="shared" si="13"/>
        <v>875000</v>
      </c>
      <c r="M131" s="336">
        <f t="shared" si="15"/>
        <v>925000</v>
      </c>
      <c r="N131" s="371">
        <f t="shared" si="16"/>
        <v>975000</v>
      </c>
      <c r="O131" s="468"/>
      <c r="P131" s="105"/>
      <c r="Q131" s="105"/>
      <c r="R131" s="104"/>
      <c r="S131" s="126">
        <f t="shared" si="14"/>
        <v>925000</v>
      </c>
      <c r="V131" s="34" t="str">
        <f t="shared" si="17"/>
        <v>120947</v>
      </c>
      <c r="W131" s="34" t="str">
        <f t="shared" si="18"/>
        <v>220947</v>
      </c>
    </row>
    <row r="132" spans="1:23" s="103" customFormat="1" ht="20.25" customHeight="1" x14ac:dyDescent="0.2">
      <c r="A132" s="104">
        <v>16</v>
      </c>
      <c r="B132" s="39" t="s">
        <v>1</v>
      </c>
      <c r="C132" s="29" t="s">
        <v>5</v>
      </c>
      <c r="D132" s="300" t="s">
        <v>159</v>
      </c>
      <c r="E132" s="36" t="s">
        <v>158</v>
      </c>
      <c r="F132" s="109"/>
      <c r="G132" s="107"/>
      <c r="H132" s="107"/>
      <c r="I132" s="108"/>
      <c r="J132" s="107"/>
      <c r="K132" s="113">
        <v>800000</v>
      </c>
      <c r="L132" s="233">
        <f t="shared" si="13"/>
        <v>875000</v>
      </c>
      <c r="M132" s="336">
        <f t="shared" si="15"/>
        <v>925000</v>
      </c>
      <c r="N132" s="371">
        <f t="shared" si="16"/>
        <v>975000</v>
      </c>
      <c r="O132" s="468"/>
      <c r="P132" s="105"/>
      <c r="Q132" s="105"/>
      <c r="R132" s="104"/>
      <c r="S132" s="126">
        <f t="shared" si="14"/>
        <v>925000</v>
      </c>
      <c r="V132" s="34" t="str">
        <f t="shared" si="17"/>
        <v>120948</v>
      </c>
      <c r="W132" s="34" t="str">
        <f t="shared" si="18"/>
        <v>220948</v>
      </c>
    </row>
    <row r="133" spans="1:23" s="103" customFormat="1" ht="20.25" customHeight="1" x14ac:dyDescent="0.2">
      <c r="A133" s="104">
        <v>17</v>
      </c>
      <c r="B133" s="30" t="s">
        <v>1</v>
      </c>
      <c r="C133" s="29" t="s">
        <v>5</v>
      </c>
      <c r="D133" s="300" t="s">
        <v>157</v>
      </c>
      <c r="E133" s="36" t="s">
        <v>156</v>
      </c>
      <c r="F133" s="109"/>
      <c r="G133" s="107"/>
      <c r="H133" s="107"/>
      <c r="I133" s="108"/>
      <c r="J133" s="107"/>
      <c r="K133" s="113">
        <v>800000</v>
      </c>
      <c r="L133" s="233">
        <f t="shared" si="13"/>
        <v>875000</v>
      </c>
      <c r="M133" s="336">
        <f t="shared" si="15"/>
        <v>925000</v>
      </c>
      <c r="N133" s="371">
        <f t="shared" si="16"/>
        <v>975000</v>
      </c>
      <c r="O133" s="468"/>
      <c r="P133" s="105"/>
      <c r="Q133" s="105"/>
      <c r="R133" s="104"/>
      <c r="S133" s="126">
        <f t="shared" si="14"/>
        <v>925000</v>
      </c>
      <c r="V133" s="34" t="str">
        <f t="shared" si="17"/>
        <v>120949</v>
      </c>
      <c r="W133" s="34" t="str">
        <f t="shared" si="18"/>
        <v>220949</v>
      </c>
    </row>
    <row r="134" spans="1:23" s="543" customFormat="1" ht="20.25" customHeight="1" x14ac:dyDescent="0.2">
      <c r="A134" s="529">
        <v>18</v>
      </c>
      <c r="B134" s="530" t="s">
        <v>1</v>
      </c>
      <c r="C134" s="531" t="s">
        <v>5</v>
      </c>
      <c r="D134" s="532" t="s">
        <v>155</v>
      </c>
      <c r="E134" s="533" t="s">
        <v>154</v>
      </c>
      <c r="F134" s="534"/>
      <c r="G134" s="535"/>
      <c r="H134" s="535"/>
      <c r="I134" s="536"/>
      <c r="J134" s="535"/>
      <c r="K134" s="537">
        <v>800000</v>
      </c>
      <c r="L134" s="538">
        <f t="shared" si="13"/>
        <v>875000</v>
      </c>
      <c r="M134" s="539">
        <f t="shared" si="15"/>
        <v>925000</v>
      </c>
      <c r="N134" s="539">
        <f t="shared" si="16"/>
        <v>975000</v>
      </c>
      <c r="O134" s="540"/>
      <c r="P134" s="541"/>
      <c r="Q134" s="541"/>
      <c r="R134" s="529" t="s">
        <v>500</v>
      </c>
      <c r="S134" s="542">
        <f t="shared" si="14"/>
        <v>925000</v>
      </c>
      <c r="V134" s="528" t="str">
        <f t="shared" si="17"/>
        <v>120950</v>
      </c>
      <c r="W134" s="528" t="str">
        <f t="shared" si="18"/>
        <v>220950</v>
      </c>
    </row>
    <row r="135" spans="1:23" s="103" customFormat="1" ht="20.25" customHeight="1" x14ac:dyDescent="0.2">
      <c r="A135" s="104">
        <v>19</v>
      </c>
      <c r="B135" s="39" t="s">
        <v>1</v>
      </c>
      <c r="C135" s="29" t="s">
        <v>5</v>
      </c>
      <c r="D135" s="300" t="s">
        <v>153</v>
      </c>
      <c r="E135" s="36" t="s">
        <v>152</v>
      </c>
      <c r="F135" s="109"/>
      <c r="G135" s="107"/>
      <c r="H135" s="107"/>
      <c r="I135" s="108"/>
      <c r="J135" s="107"/>
      <c r="K135" s="113">
        <v>800000</v>
      </c>
      <c r="L135" s="233">
        <f t="shared" si="13"/>
        <v>875000</v>
      </c>
      <c r="M135" s="336">
        <f t="shared" si="15"/>
        <v>925000</v>
      </c>
      <c r="N135" s="371">
        <f t="shared" si="16"/>
        <v>975000</v>
      </c>
      <c r="O135" s="468"/>
      <c r="P135" s="105"/>
      <c r="Q135" s="105"/>
      <c r="R135" s="104"/>
      <c r="S135" s="126">
        <f t="shared" si="14"/>
        <v>925000</v>
      </c>
      <c r="V135" s="34" t="str">
        <f t="shared" si="17"/>
        <v>120951</v>
      </c>
      <c r="W135" s="34" t="str">
        <f t="shared" si="18"/>
        <v>220951</v>
      </c>
    </row>
    <row r="136" spans="1:23" s="103" customFormat="1" ht="20.25" customHeight="1" x14ac:dyDescent="0.2">
      <c r="A136" s="104">
        <v>20</v>
      </c>
      <c r="B136" s="39" t="s">
        <v>1</v>
      </c>
      <c r="C136" s="29" t="s">
        <v>5</v>
      </c>
      <c r="D136" s="300" t="s">
        <v>151</v>
      </c>
      <c r="E136" s="36" t="s">
        <v>150</v>
      </c>
      <c r="F136" s="109"/>
      <c r="G136" s="107"/>
      <c r="H136" s="107"/>
      <c r="I136" s="108"/>
      <c r="J136" s="107"/>
      <c r="K136" s="113">
        <v>800000</v>
      </c>
      <c r="L136" s="233">
        <f t="shared" si="13"/>
        <v>875000</v>
      </c>
      <c r="M136" s="336">
        <f t="shared" si="15"/>
        <v>925000</v>
      </c>
      <c r="N136" s="371">
        <f t="shared" si="16"/>
        <v>975000</v>
      </c>
      <c r="O136" s="468"/>
      <c r="P136" s="105"/>
      <c r="Q136" s="105"/>
      <c r="R136" s="104"/>
      <c r="S136" s="126">
        <f t="shared" si="14"/>
        <v>925000</v>
      </c>
      <c r="V136" s="34" t="str">
        <f t="shared" si="17"/>
        <v>120952</v>
      </c>
      <c r="W136" s="34" t="str">
        <f t="shared" si="18"/>
        <v>220952</v>
      </c>
    </row>
    <row r="137" spans="1:23" s="103" customFormat="1" ht="20.25" customHeight="1" x14ac:dyDescent="0.2">
      <c r="A137" s="104">
        <v>21</v>
      </c>
      <c r="B137" s="39" t="s">
        <v>1</v>
      </c>
      <c r="C137" s="29" t="s">
        <v>5</v>
      </c>
      <c r="D137" s="300" t="s">
        <v>149</v>
      </c>
      <c r="E137" s="36" t="s">
        <v>148</v>
      </c>
      <c r="F137" s="109"/>
      <c r="G137" s="107"/>
      <c r="H137" s="107"/>
      <c r="I137" s="108"/>
      <c r="J137" s="107"/>
      <c r="K137" s="113">
        <v>800000</v>
      </c>
      <c r="L137" s="233">
        <f t="shared" si="13"/>
        <v>875000</v>
      </c>
      <c r="M137" s="336">
        <f t="shared" si="15"/>
        <v>925000</v>
      </c>
      <c r="N137" s="371">
        <f t="shared" si="16"/>
        <v>975000</v>
      </c>
      <c r="O137" s="468"/>
      <c r="P137" s="105"/>
      <c r="Q137" s="105"/>
      <c r="R137" s="104"/>
      <c r="S137" s="126">
        <f t="shared" si="14"/>
        <v>925000</v>
      </c>
      <c r="V137" s="34" t="str">
        <f t="shared" si="17"/>
        <v>120953</v>
      </c>
      <c r="W137" s="34" t="str">
        <f t="shared" si="18"/>
        <v>220953</v>
      </c>
    </row>
    <row r="138" spans="1:23" s="103" customFormat="1" ht="20.25" customHeight="1" x14ac:dyDescent="0.2">
      <c r="A138" s="104">
        <v>22</v>
      </c>
      <c r="B138" s="39" t="s">
        <v>1</v>
      </c>
      <c r="C138" s="29" t="s">
        <v>5</v>
      </c>
      <c r="D138" s="300" t="s">
        <v>147</v>
      </c>
      <c r="E138" s="36" t="s">
        <v>146</v>
      </c>
      <c r="F138" s="109"/>
      <c r="G138" s="107"/>
      <c r="H138" s="107"/>
      <c r="I138" s="108"/>
      <c r="J138" s="107"/>
      <c r="K138" s="113">
        <v>800000</v>
      </c>
      <c r="L138" s="233">
        <f t="shared" si="13"/>
        <v>875000</v>
      </c>
      <c r="M138" s="336">
        <f t="shared" si="15"/>
        <v>925000</v>
      </c>
      <c r="N138" s="371">
        <f t="shared" si="16"/>
        <v>975000</v>
      </c>
      <c r="O138" s="468"/>
      <c r="P138" s="105"/>
      <c r="Q138" s="105"/>
      <c r="R138" s="104"/>
      <c r="S138" s="126">
        <f t="shared" si="14"/>
        <v>925000</v>
      </c>
      <c r="V138" s="34" t="str">
        <f t="shared" si="17"/>
        <v>120954</v>
      </c>
      <c r="W138" s="34" t="str">
        <f t="shared" si="18"/>
        <v>220954</v>
      </c>
    </row>
    <row r="139" spans="1:23" s="103" customFormat="1" ht="20.25" customHeight="1" x14ac:dyDescent="0.2">
      <c r="A139" s="104">
        <v>23</v>
      </c>
      <c r="B139" s="39" t="s">
        <v>1</v>
      </c>
      <c r="C139" s="29" t="s">
        <v>5</v>
      </c>
      <c r="D139" s="300" t="s">
        <v>145</v>
      </c>
      <c r="E139" s="36" t="s">
        <v>144</v>
      </c>
      <c r="F139" s="109"/>
      <c r="G139" s="107"/>
      <c r="H139" s="107"/>
      <c r="I139" s="108"/>
      <c r="J139" s="107"/>
      <c r="K139" s="113">
        <v>800000</v>
      </c>
      <c r="L139" s="233">
        <f t="shared" si="13"/>
        <v>875000</v>
      </c>
      <c r="M139" s="336">
        <f t="shared" si="15"/>
        <v>925000</v>
      </c>
      <c r="N139" s="371">
        <f t="shared" si="16"/>
        <v>975000</v>
      </c>
      <c r="O139" s="468"/>
      <c r="P139" s="105"/>
      <c r="Q139" s="105"/>
      <c r="R139" s="104"/>
      <c r="S139" s="126">
        <f t="shared" si="14"/>
        <v>925000</v>
      </c>
      <c r="V139" s="34" t="str">
        <f t="shared" si="17"/>
        <v>120955</v>
      </c>
      <c r="W139" s="34" t="str">
        <f t="shared" si="18"/>
        <v>220955</v>
      </c>
    </row>
    <row r="140" spans="1:23" s="103" customFormat="1" ht="20.25" customHeight="1" x14ac:dyDescent="0.2">
      <c r="A140" s="104">
        <v>24</v>
      </c>
      <c r="B140" s="39" t="s">
        <v>1</v>
      </c>
      <c r="C140" s="29" t="s">
        <v>5</v>
      </c>
      <c r="D140" s="300" t="s">
        <v>143</v>
      </c>
      <c r="E140" s="36" t="s">
        <v>428</v>
      </c>
      <c r="F140" s="109"/>
      <c r="G140" s="107"/>
      <c r="H140" s="107"/>
      <c r="I140" s="108"/>
      <c r="J140" s="107"/>
      <c r="K140" s="113">
        <v>800000</v>
      </c>
      <c r="L140" s="233">
        <f t="shared" si="13"/>
        <v>875000</v>
      </c>
      <c r="M140" s="336">
        <f t="shared" si="15"/>
        <v>925000</v>
      </c>
      <c r="N140" s="371">
        <f t="shared" si="16"/>
        <v>975000</v>
      </c>
      <c r="O140" s="468"/>
      <c r="P140" s="105"/>
      <c r="Q140" s="105"/>
      <c r="R140" s="104"/>
      <c r="S140" s="126">
        <f t="shared" si="14"/>
        <v>925000</v>
      </c>
      <c r="V140" s="34" t="str">
        <f t="shared" si="17"/>
        <v>120956</v>
      </c>
      <c r="W140" s="34" t="str">
        <f t="shared" si="18"/>
        <v>220956</v>
      </c>
    </row>
    <row r="141" spans="1:23" s="103" customFormat="1" ht="20.25" customHeight="1" x14ac:dyDescent="0.2">
      <c r="A141" s="104">
        <v>25</v>
      </c>
      <c r="B141" s="39" t="s">
        <v>1</v>
      </c>
      <c r="C141" s="29" t="s">
        <v>5</v>
      </c>
      <c r="D141" s="300" t="s">
        <v>142</v>
      </c>
      <c r="E141" s="36" t="s">
        <v>141</v>
      </c>
      <c r="F141" s="109"/>
      <c r="G141" s="107"/>
      <c r="H141" s="107"/>
      <c r="I141" s="108"/>
      <c r="J141" s="107"/>
      <c r="K141" s="113">
        <v>800000</v>
      </c>
      <c r="L141" s="233">
        <f t="shared" si="13"/>
        <v>875000</v>
      </c>
      <c r="M141" s="336">
        <f t="shared" si="15"/>
        <v>925000</v>
      </c>
      <c r="N141" s="371">
        <f t="shared" si="16"/>
        <v>975000</v>
      </c>
      <c r="O141" s="468"/>
      <c r="P141" s="105"/>
      <c r="Q141" s="105"/>
      <c r="R141" s="104"/>
      <c r="S141" s="126">
        <f t="shared" si="14"/>
        <v>925000</v>
      </c>
      <c r="V141" s="34" t="str">
        <f t="shared" si="17"/>
        <v>120957</v>
      </c>
      <c r="W141" s="34" t="str">
        <f t="shared" si="18"/>
        <v>220957</v>
      </c>
    </row>
    <row r="142" spans="1:23" s="103" customFormat="1" ht="20.25" customHeight="1" x14ac:dyDescent="0.2">
      <c r="A142" s="104">
        <v>26</v>
      </c>
      <c r="B142" s="39" t="s">
        <v>1</v>
      </c>
      <c r="C142" s="29" t="s">
        <v>5</v>
      </c>
      <c r="D142" s="300" t="s">
        <v>140</v>
      </c>
      <c r="E142" s="36" t="s">
        <v>139</v>
      </c>
      <c r="F142" s="109"/>
      <c r="G142" s="107"/>
      <c r="H142" s="107"/>
      <c r="I142" s="108"/>
      <c r="J142" s="107"/>
      <c r="K142" s="113">
        <v>800000</v>
      </c>
      <c r="L142" s="233">
        <f t="shared" si="13"/>
        <v>875000</v>
      </c>
      <c r="M142" s="336">
        <f t="shared" si="15"/>
        <v>925000</v>
      </c>
      <c r="N142" s="371">
        <f t="shared" si="16"/>
        <v>975000</v>
      </c>
      <c r="O142" s="468"/>
      <c r="P142" s="105"/>
      <c r="Q142" s="105"/>
      <c r="R142" s="104"/>
      <c r="S142" s="126">
        <f t="shared" si="14"/>
        <v>925000</v>
      </c>
      <c r="V142" s="34" t="str">
        <f t="shared" si="17"/>
        <v>120958</v>
      </c>
      <c r="W142" s="34" t="str">
        <f t="shared" si="18"/>
        <v>220958</v>
      </c>
    </row>
    <row r="143" spans="1:23" s="103" customFormat="1" ht="20.25" customHeight="1" x14ac:dyDescent="0.2">
      <c r="A143" s="104">
        <v>27</v>
      </c>
      <c r="B143" s="39" t="s">
        <v>1</v>
      </c>
      <c r="C143" s="29" t="s">
        <v>5</v>
      </c>
      <c r="D143" s="300" t="s">
        <v>138</v>
      </c>
      <c r="E143" s="36" t="s">
        <v>137</v>
      </c>
      <c r="F143" s="109"/>
      <c r="G143" s="107"/>
      <c r="H143" s="107"/>
      <c r="I143" s="108"/>
      <c r="J143" s="107"/>
      <c r="K143" s="113">
        <v>500000</v>
      </c>
      <c r="L143" s="233">
        <f t="shared" si="13"/>
        <v>575000</v>
      </c>
      <c r="M143" s="336">
        <f t="shared" si="15"/>
        <v>625000</v>
      </c>
      <c r="N143" s="371">
        <f t="shared" si="16"/>
        <v>675000</v>
      </c>
      <c r="O143" s="468"/>
      <c r="P143" s="105"/>
      <c r="Q143" s="105"/>
      <c r="R143" s="104"/>
      <c r="S143" s="126">
        <f t="shared" si="14"/>
        <v>625000</v>
      </c>
      <c r="V143" s="34" t="str">
        <f t="shared" si="17"/>
        <v>120960</v>
      </c>
      <c r="W143" s="34" t="str">
        <f t="shared" si="18"/>
        <v>220960</v>
      </c>
    </row>
    <row r="144" spans="1:23" s="103" customFormat="1" ht="20.25" customHeight="1" x14ac:dyDescent="0.2">
      <c r="A144" s="104">
        <v>28</v>
      </c>
      <c r="B144" s="39" t="s">
        <v>1</v>
      </c>
      <c r="C144" s="29" t="s">
        <v>5</v>
      </c>
      <c r="D144" s="300" t="s">
        <v>136</v>
      </c>
      <c r="E144" s="36" t="s">
        <v>135</v>
      </c>
      <c r="F144" s="118"/>
      <c r="G144" s="116"/>
      <c r="H144" s="116"/>
      <c r="I144" s="117"/>
      <c r="J144" s="116"/>
      <c r="K144" s="302">
        <v>500000</v>
      </c>
      <c r="L144" s="55">
        <f t="shared" si="13"/>
        <v>575000</v>
      </c>
      <c r="M144" s="336">
        <f>SUM(L144)</f>
        <v>575000</v>
      </c>
      <c r="N144" s="371">
        <f t="shared" si="16"/>
        <v>625000</v>
      </c>
      <c r="O144" s="468"/>
      <c r="P144" s="105"/>
      <c r="Q144" s="105"/>
      <c r="R144" s="104"/>
      <c r="S144" s="126">
        <f t="shared" si="14"/>
        <v>575000</v>
      </c>
      <c r="V144" s="34" t="str">
        <f t="shared" si="17"/>
        <v>120961</v>
      </c>
      <c r="W144" s="34" t="str">
        <f t="shared" si="18"/>
        <v>220961</v>
      </c>
    </row>
    <row r="145" spans="1:23" s="103" customFormat="1" ht="20.25" customHeight="1" x14ac:dyDescent="0.2">
      <c r="A145" s="104">
        <v>29</v>
      </c>
      <c r="B145" s="30" t="s">
        <v>1</v>
      </c>
      <c r="C145" s="29" t="s">
        <v>5</v>
      </c>
      <c r="D145" s="300" t="s">
        <v>134</v>
      </c>
      <c r="E145" s="36" t="s">
        <v>133</v>
      </c>
      <c r="F145" s="109"/>
      <c r="G145" s="107"/>
      <c r="H145" s="107"/>
      <c r="I145" s="108"/>
      <c r="J145" s="107"/>
      <c r="K145" s="113">
        <v>800000</v>
      </c>
      <c r="L145" s="233">
        <f t="shared" si="13"/>
        <v>875000</v>
      </c>
      <c r="M145" s="336">
        <f t="shared" si="15"/>
        <v>925000</v>
      </c>
      <c r="N145" s="371">
        <f t="shared" si="16"/>
        <v>975000</v>
      </c>
      <c r="O145" s="468"/>
      <c r="P145" s="105"/>
      <c r="Q145" s="105"/>
      <c r="R145" s="104"/>
      <c r="S145" s="126">
        <f t="shared" si="14"/>
        <v>925000</v>
      </c>
      <c r="V145" s="34" t="str">
        <f t="shared" si="17"/>
        <v>120962</v>
      </c>
      <c r="W145" s="34" t="str">
        <f t="shared" si="18"/>
        <v>220962</v>
      </c>
    </row>
    <row r="146" spans="1:23" s="103" customFormat="1" ht="20.25" customHeight="1" x14ac:dyDescent="0.2">
      <c r="A146" s="104">
        <v>30</v>
      </c>
      <c r="B146" s="39" t="s">
        <v>1</v>
      </c>
      <c r="C146" s="29" t="s">
        <v>5</v>
      </c>
      <c r="D146" s="300" t="s">
        <v>132</v>
      </c>
      <c r="E146" s="32" t="s">
        <v>131</v>
      </c>
      <c r="F146" s="109"/>
      <c r="G146" s="107"/>
      <c r="H146" s="107"/>
      <c r="I146" s="108"/>
      <c r="J146" s="107"/>
      <c r="K146" s="113">
        <v>800000</v>
      </c>
      <c r="L146" s="233">
        <f t="shared" si="13"/>
        <v>875000</v>
      </c>
      <c r="M146" s="336">
        <f t="shared" si="15"/>
        <v>925000</v>
      </c>
      <c r="N146" s="371">
        <f t="shared" si="16"/>
        <v>975000</v>
      </c>
      <c r="O146" s="468"/>
      <c r="P146" s="105"/>
      <c r="Q146" s="105"/>
      <c r="R146" s="104"/>
      <c r="S146" s="126">
        <f t="shared" si="14"/>
        <v>925000</v>
      </c>
      <c r="V146" s="34" t="str">
        <f t="shared" si="17"/>
        <v>120964</v>
      </c>
      <c r="W146" s="34" t="str">
        <f t="shared" si="18"/>
        <v>220964</v>
      </c>
    </row>
    <row r="147" spans="1:23" s="103" customFormat="1" ht="20.25" customHeight="1" x14ac:dyDescent="0.2">
      <c r="A147" s="104">
        <v>31</v>
      </c>
      <c r="B147" s="39" t="s">
        <v>1</v>
      </c>
      <c r="C147" s="29" t="s">
        <v>5</v>
      </c>
      <c r="D147" s="300" t="s">
        <v>130</v>
      </c>
      <c r="E147" s="36" t="s">
        <v>129</v>
      </c>
      <c r="F147" s="109"/>
      <c r="G147" s="107"/>
      <c r="H147" s="107"/>
      <c r="I147" s="108"/>
      <c r="J147" s="107"/>
      <c r="K147" s="113">
        <v>800000</v>
      </c>
      <c r="L147" s="233">
        <f t="shared" si="13"/>
        <v>875000</v>
      </c>
      <c r="M147" s="336">
        <f t="shared" si="15"/>
        <v>925000</v>
      </c>
      <c r="N147" s="371">
        <f t="shared" si="16"/>
        <v>975000</v>
      </c>
      <c r="O147" s="468"/>
      <c r="P147" s="105"/>
      <c r="Q147" s="105"/>
      <c r="R147" s="104"/>
      <c r="S147" s="126">
        <f t="shared" si="14"/>
        <v>925000</v>
      </c>
      <c r="V147" s="34" t="str">
        <f t="shared" si="17"/>
        <v>120965</v>
      </c>
      <c r="W147" s="34" t="str">
        <f t="shared" si="18"/>
        <v>220965</v>
      </c>
    </row>
    <row r="148" spans="1:23" s="103" customFormat="1" ht="20.25" customHeight="1" x14ac:dyDescent="0.2">
      <c r="A148" s="104">
        <v>32</v>
      </c>
      <c r="B148" s="39" t="s">
        <v>1</v>
      </c>
      <c r="C148" s="29" t="s">
        <v>5</v>
      </c>
      <c r="D148" s="300" t="s">
        <v>128</v>
      </c>
      <c r="E148" s="119" t="s">
        <v>127</v>
      </c>
      <c r="F148" s="109"/>
      <c r="G148" s="107"/>
      <c r="H148" s="107"/>
      <c r="I148" s="108"/>
      <c r="J148" s="107"/>
      <c r="K148" s="113">
        <v>800000</v>
      </c>
      <c r="L148" s="233">
        <f t="shared" si="13"/>
        <v>875000</v>
      </c>
      <c r="M148" s="336">
        <f t="shared" si="15"/>
        <v>925000</v>
      </c>
      <c r="N148" s="371">
        <f t="shared" si="16"/>
        <v>975000</v>
      </c>
      <c r="O148" s="468"/>
      <c r="P148" s="105"/>
      <c r="Q148" s="105"/>
      <c r="R148" s="104"/>
      <c r="S148" s="126">
        <f t="shared" si="14"/>
        <v>925000</v>
      </c>
      <c r="V148" s="34" t="str">
        <f t="shared" si="17"/>
        <v>120966</v>
      </c>
      <c r="W148" s="34" t="str">
        <f t="shared" si="18"/>
        <v>220966</v>
      </c>
    </row>
    <row r="149" spans="1:23" s="386" customFormat="1" ht="20.25" customHeight="1" x14ac:dyDescent="0.2">
      <c r="A149" s="104">
        <v>33</v>
      </c>
      <c r="B149" s="374" t="s">
        <v>1</v>
      </c>
      <c r="C149" s="375" t="s">
        <v>5</v>
      </c>
      <c r="D149" s="376" t="s">
        <v>126</v>
      </c>
      <c r="E149" s="377" t="s">
        <v>125</v>
      </c>
      <c r="F149" s="378"/>
      <c r="G149" s="379"/>
      <c r="H149" s="379"/>
      <c r="I149" s="380"/>
      <c r="J149" s="379"/>
      <c r="K149" s="381">
        <v>240000</v>
      </c>
      <c r="L149" s="382">
        <f t="shared" si="13"/>
        <v>315000</v>
      </c>
      <c r="M149" s="383">
        <v>925000</v>
      </c>
      <c r="N149" s="383">
        <f t="shared" si="16"/>
        <v>975000</v>
      </c>
      <c r="O149" s="468"/>
      <c r="P149" s="384"/>
      <c r="Q149" s="384"/>
      <c r="R149" s="373"/>
      <c r="S149" s="385">
        <f t="shared" si="14"/>
        <v>925000</v>
      </c>
      <c r="V149" s="387" t="str">
        <f t="shared" si="17"/>
        <v>120967</v>
      </c>
      <c r="W149" s="387" t="str">
        <f t="shared" si="18"/>
        <v>220967</v>
      </c>
    </row>
    <row r="150" spans="1:23" s="103" customFormat="1" ht="20.25" customHeight="1" x14ac:dyDescent="0.2">
      <c r="A150" s="104">
        <v>34</v>
      </c>
      <c r="B150" s="39" t="s">
        <v>1</v>
      </c>
      <c r="C150" s="29" t="s">
        <v>5</v>
      </c>
      <c r="D150" s="300" t="s">
        <v>124</v>
      </c>
      <c r="E150" s="114" t="s">
        <v>123</v>
      </c>
      <c r="F150" s="109"/>
      <c r="G150" s="107"/>
      <c r="H150" s="107"/>
      <c r="I150" s="108"/>
      <c r="J150" s="107"/>
      <c r="K150" s="113">
        <v>800000</v>
      </c>
      <c r="L150" s="233">
        <f t="shared" si="13"/>
        <v>875000</v>
      </c>
      <c r="M150" s="336">
        <f t="shared" si="15"/>
        <v>925000</v>
      </c>
      <c r="N150" s="371">
        <f t="shared" si="16"/>
        <v>975000</v>
      </c>
      <c r="O150" s="468"/>
      <c r="P150" s="105"/>
      <c r="Q150" s="105"/>
      <c r="R150" s="104"/>
      <c r="S150" s="126">
        <f t="shared" si="14"/>
        <v>925000</v>
      </c>
      <c r="V150" s="34" t="str">
        <f t="shared" si="17"/>
        <v>120968</v>
      </c>
      <c r="W150" s="34" t="str">
        <f t="shared" si="18"/>
        <v>220968</v>
      </c>
    </row>
    <row r="151" spans="1:23" s="103" customFormat="1" ht="20.25" customHeight="1" x14ac:dyDescent="0.2">
      <c r="A151" s="104">
        <v>35</v>
      </c>
      <c r="B151" s="39" t="s">
        <v>1</v>
      </c>
      <c r="C151" s="29" t="s">
        <v>5</v>
      </c>
      <c r="D151" s="300" t="s">
        <v>122</v>
      </c>
      <c r="E151" s="114" t="s">
        <v>121</v>
      </c>
      <c r="F151" s="109"/>
      <c r="G151" s="107"/>
      <c r="H151" s="107"/>
      <c r="I151" s="108"/>
      <c r="J151" s="107"/>
      <c r="K151" s="113">
        <v>800000</v>
      </c>
      <c r="L151" s="233">
        <f t="shared" si="13"/>
        <v>875000</v>
      </c>
      <c r="M151" s="336">
        <f t="shared" si="15"/>
        <v>925000</v>
      </c>
      <c r="N151" s="371">
        <f t="shared" si="16"/>
        <v>975000</v>
      </c>
      <c r="O151" s="468"/>
      <c r="P151" s="105"/>
      <c r="Q151" s="105"/>
      <c r="R151" s="104"/>
      <c r="S151" s="126">
        <f t="shared" si="14"/>
        <v>925000</v>
      </c>
      <c r="V151" s="34" t="str">
        <f t="shared" si="17"/>
        <v>120970</v>
      </c>
      <c r="W151" s="34" t="str">
        <f t="shared" si="18"/>
        <v>220970</v>
      </c>
    </row>
    <row r="152" spans="1:23" s="103" customFormat="1" ht="20.25" customHeight="1" x14ac:dyDescent="0.2">
      <c r="A152" s="104">
        <v>36</v>
      </c>
      <c r="B152" s="39" t="s">
        <v>1</v>
      </c>
      <c r="C152" s="29" t="s">
        <v>5</v>
      </c>
      <c r="D152" s="115" t="s">
        <v>120</v>
      </c>
      <c r="E152" s="114" t="s">
        <v>119</v>
      </c>
      <c r="F152" s="109"/>
      <c r="G152" s="107"/>
      <c r="H152" s="107"/>
      <c r="I152" s="108"/>
      <c r="J152" s="107"/>
      <c r="K152" s="113">
        <v>800000</v>
      </c>
      <c r="L152" s="233">
        <f t="shared" si="13"/>
        <v>875000</v>
      </c>
      <c r="M152" s="336">
        <f t="shared" si="15"/>
        <v>925000</v>
      </c>
      <c r="N152" s="371">
        <f t="shared" si="16"/>
        <v>975000</v>
      </c>
      <c r="O152" s="467"/>
      <c r="P152" s="105"/>
      <c r="Q152" s="105"/>
      <c r="R152" s="104"/>
      <c r="S152" s="126">
        <f t="shared" ref="S152:S182" si="19">SUM(M152)</f>
        <v>925000</v>
      </c>
      <c r="V152" s="34" t="str">
        <f t="shared" si="17"/>
        <v>120972</v>
      </c>
      <c r="W152" s="34" t="str">
        <f t="shared" si="18"/>
        <v>220972</v>
      </c>
    </row>
    <row r="153" spans="1:23" s="103" customFormat="1" ht="20.25" customHeight="1" x14ac:dyDescent="0.2">
      <c r="A153" s="104"/>
      <c r="B153" s="133"/>
      <c r="C153" s="151"/>
      <c r="D153" s="115"/>
      <c r="E153" s="114"/>
      <c r="F153" s="109"/>
      <c r="G153" s="107"/>
      <c r="H153" s="107"/>
      <c r="I153" s="108"/>
      <c r="J153" s="107"/>
      <c r="K153" s="233"/>
      <c r="L153" s="233"/>
      <c r="M153" s="336"/>
      <c r="N153" s="319"/>
      <c r="O153" s="457"/>
      <c r="P153" s="105"/>
      <c r="Q153" s="105"/>
      <c r="R153" s="104"/>
      <c r="S153" s="126"/>
      <c r="V153" s="34"/>
      <c r="W153" s="34"/>
    </row>
    <row r="154" spans="1:23" s="103" customFormat="1" ht="20.25" customHeight="1" x14ac:dyDescent="0.2">
      <c r="A154" s="104"/>
      <c r="B154" s="104"/>
      <c r="C154" s="112"/>
      <c r="D154" s="111"/>
      <c r="E154" s="110"/>
      <c r="F154" s="109"/>
      <c r="G154" s="107"/>
      <c r="H154" s="107"/>
      <c r="I154" s="108"/>
      <c r="J154" s="107"/>
      <c r="K154" s="106"/>
      <c r="L154" s="294"/>
      <c r="M154" s="372"/>
      <c r="N154" s="326"/>
      <c r="O154" s="469"/>
      <c r="P154" s="105"/>
      <c r="Q154" s="105"/>
      <c r="R154" s="104"/>
      <c r="S154" s="126">
        <f t="shared" si="19"/>
        <v>0</v>
      </c>
      <c r="V154" s="34"/>
      <c r="W154" s="34"/>
    </row>
    <row r="155" spans="1:23" s="94" customFormat="1" ht="20.25" customHeight="1" x14ac:dyDescent="0.2">
      <c r="A155" s="95"/>
      <c r="B155" s="95"/>
      <c r="C155" s="102"/>
      <c r="D155" s="101"/>
      <c r="E155" s="100"/>
      <c r="F155" s="99"/>
      <c r="G155" s="97"/>
      <c r="H155" s="97"/>
      <c r="I155" s="98"/>
      <c r="J155" s="97"/>
      <c r="K155" s="289">
        <f>SUM(K117:K152)</f>
        <v>27640000</v>
      </c>
      <c r="L155" s="73"/>
      <c r="M155" s="74">
        <f>SUM(M117:M154)</f>
        <v>32650000</v>
      </c>
      <c r="N155" s="327"/>
      <c r="O155" s="470"/>
      <c r="P155" s="96"/>
      <c r="Q155" s="96"/>
      <c r="R155" s="95"/>
      <c r="S155" s="279"/>
    </row>
    <row r="156" spans="1:23" s="34" customFormat="1" ht="20.25" customHeight="1" x14ac:dyDescent="0.2">
      <c r="A156" s="80">
        <v>1</v>
      </c>
      <c r="B156" s="39" t="s">
        <v>1</v>
      </c>
      <c r="C156" s="29" t="s">
        <v>0</v>
      </c>
      <c r="D156" s="86" t="s">
        <v>117</v>
      </c>
      <c r="E156" s="93" t="s">
        <v>116</v>
      </c>
      <c r="F156" s="85"/>
      <c r="G156" s="84"/>
      <c r="H156" s="84"/>
      <c r="I156" s="82"/>
      <c r="J156" s="91">
        <v>800000</v>
      </c>
      <c r="K156" s="82">
        <f t="shared" ref="K156:K182" si="20">SUM(J156+50000)</f>
        <v>850000</v>
      </c>
      <c r="L156" s="233">
        <f t="shared" ref="L156:L182" si="21">SUM(K156+75000)</f>
        <v>925000</v>
      </c>
      <c r="M156" s="336">
        <f>SUM(L156+50000)</f>
        <v>975000</v>
      </c>
      <c r="N156" s="371">
        <f>SUM(M156+50000)</f>
        <v>1025000</v>
      </c>
      <c r="O156" s="468"/>
      <c r="P156" s="81"/>
      <c r="Q156" s="81"/>
      <c r="R156" s="80"/>
      <c r="S156" s="126">
        <f t="shared" si="19"/>
        <v>975000</v>
      </c>
      <c r="V156" s="34" t="str">
        <f t="shared" ref="V156:V182" si="22">"1"&amp;D156</f>
        <v>120899</v>
      </c>
      <c r="W156" s="34" t="str">
        <f t="shared" ref="W156:W182" si="23">"2"&amp;D156</f>
        <v>220899</v>
      </c>
    </row>
    <row r="157" spans="1:23" s="34" customFormat="1" ht="20.25" customHeight="1" x14ac:dyDescent="0.2">
      <c r="A157" s="80">
        <v>2</v>
      </c>
      <c r="B157" s="30" t="s">
        <v>1</v>
      </c>
      <c r="C157" s="29" t="s">
        <v>0</v>
      </c>
      <c r="D157" s="86" t="s">
        <v>115</v>
      </c>
      <c r="E157" s="37" t="s">
        <v>114</v>
      </c>
      <c r="F157" s="85"/>
      <c r="G157" s="84"/>
      <c r="H157" s="84"/>
      <c r="I157" s="82"/>
      <c r="J157" s="91">
        <v>800000</v>
      </c>
      <c r="K157" s="82">
        <f t="shared" si="20"/>
        <v>850000</v>
      </c>
      <c r="L157" s="233">
        <f t="shared" si="21"/>
        <v>925000</v>
      </c>
      <c r="M157" s="336">
        <f t="shared" ref="M157:M182" si="24">SUM(L157+50000)</f>
        <v>975000</v>
      </c>
      <c r="N157" s="371">
        <f t="shared" ref="N157:N182" si="25">SUM(M157+50000)</f>
        <v>1025000</v>
      </c>
      <c r="O157" s="468"/>
      <c r="P157" s="81"/>
      <c r="Q157" s="81"/>
      <c r="R157" s="104"/>
      <c r="S157" s="126">
        <f t="shared" si="19"/>
        <v>975000</v>
      </c>
      <c r="V157" s="34" t="str">
        <f t="shared" si="22"/>
        <v>120900</v>
      </c>
      <c r="W157" s="34" t="str">
        <f t="shared" si="23"/>
        <v>220900</v>
      </c>
    </row>
    <row r="158" spans="1:23" s="528" customFormat="1" ht="20.25" customHeight="1" x14ac:dyDescent="0.2">
      <c r="A158" s="526">
        <v>3</v>
      </c>
      <c r="B158" s="530" t="s">
        <v>1</v>
      </c>
      <c r="C158" s="531" t="s">
        <v>0</v>
      </c>
      <c r="D158" s="600" t="s">
        <v>113</v>
      </c>
      <c r="E158" s="601" t="s">
        <v>112</v>
      </c>
      <c r="F158" s="602"/>
      <c r="G158" s="603"/>
      <c r="H158" s="603"/>
      <c r="I158" s="519"/>
      <c r="J158" s="604">
        <v>800000</v>
      </c>
      <c r="K158" s="519">
        <f t="shared" si="20"/>
        <v>850000</v>
      </c>
      <c r="L158" s="538">
        <f t="shared" si="21"/>
        <v>925000</v>
      </c>
      <c r="M158" s="539">
        <f t="shared" si="24"/>
        <v>975000</v>
      </c>
      <c r="N158" s="539">
        <f t="shared" si="25"/>
        <v>1025000</v>
      </c>
      <c r="O158" s="540"/>
      <c r="P158" s="605"/>
      <c r="Q158" s="605"/>
      <c r="R158" s="526" t="s">
        <v>500</v>
      </c>
      <c r="S158" s="542">
        <f t="shared" si="19"/>
        <v>975000</v>
      </c>
      <c r="V158" s="528" t="str">
        <f t="shared" si="22"/>
        <v>120901</v>
      </c>
      <c r="W158" s="528" t="str">
        <f t="shared" si="23"/>
        <v>220901</v>
      </c>
    </row>
    <row r="159" spans="1:23" s="34" customFormat="1" ht="20.25" customHeight="1" x14ac:dyDescent="0.2">
      <c r="A159" s="80">
        <v>4</v>
      </c>
      <c r="B159" s="30" t="s">
        <v>1</v>
      </c>
      <c r="C159" s="29" t="s">
        <v>0</v>
      </c>
      <c r="D159" s="86" t="s">
        <v>111</v>
      </c>
      <c r="E159" s="37" t="s">
        <v>110</v>
      </c>
      <c r="F159" s="85"/>
      <c r="G159" s="84"/>
      <c r="H159" s="84"/>
      <c r="I159" s="82"/>
      <c r="J159" s="91">
        <v>800000</v>
      </c>
      <c r="K159" s="82">
        <f t="shared" si="20"/>
        <v>850000</v>
      </c>
      <c r="L159" s="233">
        <f t="shared" si="21"/>
        <v>925000</v>
      </c>
      <c r="M159" s="336">
        <f t="shared" si="24"/>
        <v>975000</v>
      </c>
      <c r="N159" s="371">
        <f t="shared" si="25"/>
        <v>1025000</v>
      </c>
      <c r="O159" s="468"/>
      <c r="P159" s="81"/>
      <c r="Q159" s="81"/>
      <c r="R159" s="80"/>
      <c r="S159" s="126">
        <f t="shared" si="19"/>
        <v>975000</v>
      </c>
      <c r="V159" s="34" t="str">
        <f t="shared" si="22"/>
        <v>120902</v>
      </c>
      <c r="W159" s="34" t="str">
        <f t="shared" si="23"/>
        <v>220902</v>
      </c>
    </row>
    <row r="160" spans="1:23" s="34" customFormat="1" ht="20.25" customHeight="1" x14ac:dyDescent="0.2">
      <c r="A160" s="80">
        <v>5</v>
      </c>
      <c r="B160" s="30" t="s">
        <v>1</v>
      </c>
      <c r="C160" s="29" t="s">
        <v>0</v>
      </c>
      <c r="D160" s="86" t="s">
        <v>109</v>
      </c>
      <c r="E160" s="37" t="s">
        <v>108</v>
      </c>
      <c r="F160" s="85"/>
      <c r="G160" s="84"/>
      <c r="H160" s="84"/>
      <c r="I160" s="82"/>
      <c r="J160" s="91">
        <v>800000</v>
      </c>
      <c r="K160" s="82">
        <f t="shared" si="20"/>
        <v>850000</v>
      </c>
      <c r="L160" s="233">
        <f t="shared" si="21"/>
        <v>925000</v>
      </c>
      <c r="M160" s="336">
        <f t="shared" si="24"/>
        <v>975000</v>
      </c>
      <c r="N160" s="371">
        <f t="shared" si="25"/>
        <v>1025000</v>
      </c>
      <c r="O160" s="468"/>
      <c r="P160" s="81"/>
      <c r="Q160" s="81"/>
      <c r="R160" s="80"/>
      <c r="S160" s="126">
        <f t="shared" si="19"/>
        <v>975000</v>
      </c>
      <c r="V160" s="34" t="str">
        <f t="shared" si="22"/>
        <v>120903</v>
      </c>
      <c r="W160" s="34" t="str">
        <f t="shared" si="23"/>
        <v>220903</v>
      </c>
    </row>
    <row r="161" spans="1:23" s="34" customFormat="1" ht="20.25" customHeight="1" x14ac:dyDescent="0.2">
      <c r="A161" s="80">
        <v>6</v>
      </c>
      <c r="B161" s="30" t="s">
        <v>1</v>
      </c>
      <c r="C161" s="29" t="s">
        <v>0</v>
      </c>
      <c r="D161" s="86" t="s">
        <v>107</v>
      </c>
      <c r="E161" s="37" t="s">
        <v>106</v>
      </c>
      <c r="F161" s="85"/>
      <c r="G161" s="84"/>
      <c r="H161" s="84"/>
      <c r="I161" s="82"/>
      <c r="J161" s="91">
        <v>800000</v>
      </c>
      <c r="K161" s="82">
        <f t="shared" si="20"/>
        <v>850000</v>
      </c>
      <c r="L161" s="233">
        <f t="shared" si="21"/>
        <v>925000</v>
      </c>
      <c r="M161" s="336">
        <f t="shared" si="24"/>
        <v>975000</v>
      </c>
      <c r="N161" s="371">
        <f t="shared" si="25"/>
        <v>1025000</v>
      </c>
      <c r="O161" s="468"/>
      <c r="P161" s="81"/>
      <c r="Q161" s="81"/>
      <c r="R161" s="80"/>
      <c r="S161" s="126">
        <f t="shared" si="19"/>
        <v>975000</v>
      </c>
      <c r="V161" s="34" t="str">
        <f t="shared" si="22"/>
        <v>120904</v>
      </c>
      <c r="W161" s="34" t="str">
        <f t="shared" si="23"/>
        <v>220904</v>
      </c>
    </row>
    <row r="162" spans="1:23" s="528" customFormat="1" ht="20.25" customHeight="1" x14ac:dyDescent="0.2">
      <c r="A162" s="526">
        <v>7</v>
      </c>
      <c r="B162" s="530" t="s">
        <v>1</v>
      </c>
      <c r="C162" s="531" t="s">
        <v>0</v>
      </c>
      <c r="D162" s="600" t="s">
        <v>105</v>
      </c>
      <c r="E162" s="658" t="s">
        <v>104</v>
      </c>
      <c r="F162" s="602"/>
      <c r="G162" s="603"/>
      <c r="H162" s="603"/>
      <c r="I162" s="519"/>
      <c r="J162" s="604">
        <v>800000</v>
      </c>
      <c r="K162" s="519">
        <f t="shared" si="20"/>
        <v>850000</v>
      </c>
      <c r="L162" s="538">
        <f t="shared" si="21"/>
        <v>925000</v>
      </c>
      <c r="M162" s="539">
        <f t="shared" si="24"/>
        <v>975000</v>
      </c>
      <c r="N162" s="539">
        <f t="shared" si="25"/>
        <v>1025000</v>
      </c>
      <c r="O162" s="540"/>
      <c r="P162" s="605"/>
      <c r="Q162" s="605"/>
      <c r="R162" s="526" t="s">
        <v>500</v>
      </c>
      <c r="S162" s="542">
        <f t="shared" si="19"/>
        <v>975000</v>
      </c>
      <c r="V162" s="528" t="str">
        <f t="shared" si="22"/>
        <v>120905</v>
      </c>
      <c r="W162" s="528" t="str">
        <f t="shared" si="23"/>
        <v>220905</v>
      </c>
    </row>
    <row r="163" spans="1:23" s="34" customFormat="1" ht="20.25" customHeight="1" x14ac:dyDescent="0.2">
      <c r="A163" s="80">
        <v>8</v>
      </c>
      <c r="B163" s="30" t="s">
        <v>1</v>
      </c>
      <c r="C163" s="29" t="s">
        <v>0</v>
      </c>
      <c r="D163" s="86" t="s">
        <v>103</v>
      </c>
      <c r="E163" s="37" t="s">
        <v>102</v>
      </c>
      <c r="F163" s="85"/>
      <c r="G163" s="84"/>
      <c r="H163" s="84"/>
      <c r="I163" s="82"/>
      <c r="J163" s="91">
        <v>800000</v>
      </c>
      <c r="K163" s="82">
        <f t="shared" si="20"/>
        <v>850000</v>
      </c>
      <c r="L163" s="233">
        <f t="shared" si="21"/>
        <v>925000</v>
      </c>
      <c r="M163" s="336">
        <f t="shared" si="24"/>
        <v>975000</v>
      </c>
      <c r="N163" s="371">
        <f t="shared" si="25"/>
        <v>1025000</v>
      </c>
      <c r="O163" s="468"/>
      <c r="P163" s="81"/>
      <c r="Q163" s="81"/>
      <c r="R163" s="80"/>
      <c r="S163" s="126">
        <f t="shared" si="19"/>
        <v>975000</v>
      </c>
      <c r="V163" s="34" t="str">
        <f t="shared" si="22"/>
        <v>120906</v>
      </c>
      <c r="W163" s="34" t="str">
        <f t="shared" si="23"/>
        <v>220906</v>
      </c>
    </row>
    <row r="164" spans="1:23" s="34" customFormat="1" ht="20.25" customHeight="1" x14ac:dyDescent="0.2">
      <c r="A164" s="80">
        <v>9</v>
      </c>
      <c r="B164" s="30" t="s">
        <v>1</v>
      </c>
      <c r="C164" s="29" t="s">
        <v>0</v>
      </c>
      <c r="D164" s="86" t="s">
        <v>101</v>
      </c>
      <c r="E164" s="37" t="s">
        <v>100</v>
      </c>
      <c r="F164" s="85"/>
      <c r="G164" s="84"/>
      <c r="H164" s="84"/>
      <c r="I164" s="82"/>
      <c r="J164" s="91">
        <v>800000</v>
      </c>
      <c r="K164" s="82">
        <f t="shared" si="20"/>
        <v>850000</v>
      </c>
      <c r="L164" s="233">
        <f t="shared" si="21"/>
        <v>925000</v>
      </c>
      <c r="M164" s="336">
        <f t="shared" si="24"/>
        <v>975000</v>
      </c>
      <c r="N164" s="371">
        <f t="shared" si="25"/>
        <v>1025000</v>
      </c>
      <c r="O164" s="468"/>
      <c r="P164" s="81"/>
      <c r="Q164" s="81"/>
      <c r="R164" s="80"/>
      <c r="S164" s="126">
        <f t="shared" si="19"/>
        <v>975000</v>
      </c>
      <c r="V164" s="34" t="str">
        <f t="shared" si="22"/>
        <v>120907</v>
      </c>
      <c r="W164" s="34" t="str">
        <f t="shared" si="23"/>
        <v>220907</v>
      </c>
    </row>
    <row r="165" spans="1:23" s="34" customFormat="1" ht="20.25" customHeight="1" x14ac:dyDescent="0.2">
      <c r="A165" s="80">
        <v>10</v>
      </c>
      <c r="B165" s="30" t="s">
        <v>1</v>
      </c>
      <c r="C165" s="29" t="s">
        <v>0</v>
      </c>
      <c r="D165" s="86" t="s">
        <v>99</v>
      </c>
      <c r="E165" s="37" t="s">
        <v>98</v>
      </c>
      <c r="F165" s="85"/>
      <c r="G165" s="84"/>
      <c r="H165" s="84"/>
      <c r="I165" s="82"/>
      <c r="J165" s="91">
        <v>800000</v>
      </c>
      <c r="K165" s="82">
        <f t="shared" si="20"/>
        <v>850000</v>
      </c>
      <c r="L165" s="233">
        <f t="shared" si="21"/>
        <v>925000</v>
      </c>
      <c r="M165" s="336">
        <f t="shared" si="24"/>
        <v>975000</v>
      </c>
      <c r="N165" s="371">
        <f t="shared" si="25"/>
        <v>1025000</v>
      </c>
      <c r="O165" s="468"/>
      <c r="P165" s="81"/>
      <c r="Q165" s="81"/>
      <c r="R165" s="80"/>
      <c r="S165" s="126">
        <f t="shared" si="19"/>
        <v>975000</v>
      </c>
      <c r="V165" s="34" t="str">
        <f t="shared" si="22"/>
        <v>120908</v>
      </c>
      <c r="W165" s="34" t="str">
        <f t="shared" si="23"/>
        <v>220908</v>
      </c>
    </row>
    <row r="166" spans="1:23" s="34" customFormat="1" ht="20.25" customHeight="1" x14ac:dyDescent="0.2">
      <c r="A166" s="80">
        <v>11</v>
      </c>
      <c r="B166" s="30" t="s">
        <v>1</v>
      </c>
      <c r="C166" s="29" t="s">
        <v>0</v>
      </c>
      <c r="D166" s="86" t="s">
        <v>97</v>
      </c>
      <c r="E166" s="93" t="s">
        <v>96</v>
      </c>
      <c r="F166" s="85"/>
      <c r="G166" s="84"/>
      <c r="H166" s="84"/>
      <c r="I166" s="82"/>
      <c r="J166" s="91">
        <v>800000</v>
      </c>
      <c r="K166" s="82">
        <f t="shared" si="20"/>
        <v>850000</v>
      </c>
      <c r="L166" s="233">
        <f t="shared" si="21"/>
        <v>925000</v>
      </c>
      <c r="M166" s="336">
        <f t="shared" si="24"/>
        <v>975000</v>
      </c>
      <c r="N166" s="371">
        <f t="shared" si="25"/>
        <v>1025000</v>
      </c>
      <c r="O166" s="468"/>
      <c r="P166" s="81"/>
      <c r="Q166" s="81"/>
      <c r="R166" s="80"/>
      <c r="S166" s="126">
        <f t="shared" si="19"/>
        <v>975000</v>
      </c>
      <c r="V166" s="34" t="str">
        <f t="shared" si="22"/>
        <v>120909</v>
      </c>
      <c r="W166" s="34" t="str">
        <f t="shared" si="23"/>
        <v>220909</v>
      </c>
    </row>
    <row r="167" spans="1:23" s="34" customFormat="1" ht="20.25" customHeight="1" x14ac:dyDescent="0.2">
      <c r="A167" s="80">
        <v>12</v>
      </c>
      <c r="B167" s="30" t="s">
        <v>1</v>
      </c>
      <c r="C167" s="29" t="s">
        <v>0</v>
      </c>
      <c r="D167" s="86" t="s">
        <v>95</v>
      </c>
      <c r="E167" s="37" t="s">
        <v>94</v>
      </c>
      <c r="F167" s="85"/>
      <c r="G167" s="84"/>
      <c r="H167" s="84"/>
      <c r="I167" s="82"/>
      <c r="J167" s="91">
        <v>800000</v>
      </c>
      <c r="K167" s="82">
        <f t="shared" si="20"/>
        <v>850000</v>
      </c>
      <c r="L167" s="233">
        <f t="shared" si="21"/>
        <v>925000</v>
      </c>
      <c r="M167" s="336">
        <f t="shared" si="24"/>
        <v>975000</v>
      </c>
      <c r="N167" s="371">
        <f t="shared" si="25"/>
        <v>1025000</v>
      </c>
      <c r="O167" s="468"/>
      <c r="P167" s="81"/>
      <c r="Q167" s="81"/>
      <c r="R167" s="80"/>
      <c r="S167" s="126">
        <f t="shared" si="19"/>
        <v>975000</v>
      </c>
      <c r="V167" s="34" t="str">
        <f t="shared" si="22"/>
        <v>120910</v>
      </c>
      <c r="W167" s="34" t="str">
        <f t="shared" si="23"/>
        <v>220910</v>
      </c>
    </row>
    <row r="168" spans="1:23" s="34" customFormat="1" ht="20.25" customHeight="1" x14ac:dyDescent="0.2">
      <c r="A168" s="80">
        <v>13</v>
      </c>
      <c r="B168" s="30" t="s">
        <v>1</v>
      </c>
      <c r="C168" s="29" t="s">
        <v>0</v>
      </c>
      <c r="D168" s="86" t="s">
        <v>93</v>
      </c>
      <c r="E168" s="37" t="s">
        <v>92</v>
      </c>
      <c r="F168" s="85"/>
      <c r="G168" s="84"/>
      <c r="H168" s="84"/>
      <c r="I168" s="82"/>
      <c r="J168" s="91">
        <v>800000</v>
      </c>
      <c r="K168" s="82">
        <f t="shared" si="20"/>
        <v>850000</v>
      </c>
      <c r="L168" s="233">
        <f t="shared" si="21"/>
        <v>925000</v>
      </c>
      <c r="M168" s="336">
        <f t="shared" si="24"/>
        <v>975000</v>
      </c>
      <c r="N168" s="371">
        <f t="shared" si="25"/>
        <v>1025000</v>
      </c>
      <c r="O168" s="468"/>
      <c r="P168" s="81"/>
      <c r="Q168" s="81"/>
      <c r="R168" s="80"/>
      <c r="S168" s="126">
        <f t="shared" si="19"/>
        <v>975000</v>
      </c>
      <c r="V168" s="34" t="str">
        <f t="shared" si="22"/>
        <v>120911</v>
      </c>
      <c r="W168" s="34" t="str">
        <f t="shared" si="23"/>
        <v>220911</v>
      </c>
    </row>
    <row r="169" spans="1:23" s="34" customFormat="1" ht="20.25" customHeight="1" x14ac:dyDescent="0.2">
      <c r="A169" s="80">
        <v>14</v>
      </c>
      <c r="B169" s="30" t="s">
        <v>1</v>
      </c>
      <c r="C169" s="29" t="s">
        <v>0</v>
      </c>
      <c r="D169" s="86" t="s">
        <v>91</v>
      </c>
      <c r="E169" s="37" t="s">
        <v>90</v>
      </c>
      <c r="F169" s="85"/>
      <c r="G169" s="84"/>
      <c r="H169" s="84"/>
      <c r="I169" s="82"/>
      <c r="J169" s="91">
        <v>800000</v>
      </c>
      <c r="K169" s="82">
        <f t="shared" si="20"/>
        <v>850000</v>
      </c>
      <c r="L169" s="233">
        <f t="shared" si="21"/>
        <v>925000</v>
      </c>
      <c r="M169" s="336">
        <f t="shared" si="24"/>
        <v>975000</v>
      </c>
      <c r="N169" s="371">
        <f t="shared" si="25"/>
        <v>1025000</v>
      </c>
      <c r="O169" s="468"/>
      <c r="P169" s="81"/>
      <c r="Q169" s="81"/>
      <c r="R169" s="80"/>
      <c r="S169" s="126">
        <f t="shared" si="19"/>
        <v>975000</v>
      </c>
      <c r="V169" s="34" t="str">
        <f t="shared" si="22"/>
        <v>120912</v>
      </c>
      <c r="W169" s="34" t="str">
        <f t="shared" si="23"/>
        <v>220912</v>
      </c>
    </row>
    <row r="170" spans="1:23" s="34" customFormat="1" ht="20.25" customHeight="1" x14ac:dyDescent="0.2">
      <c r="A170" s="80">
        <v>15</v>
      </c>
      <c r="B170" s="30" t="s">
        <v>1</v>
      </c>
      <c r="C170" s="29" t="s">
        <v>0</v>
      </c>
      <c r="D170" s="86" t="s">
        <v>89</v>
      </c>
      <c r="E170" s="92" t="s">
        <v>88</v>
      </c>
      <c r="F170" s="85"/>
      <c r="G170" s="84"/>
      <c r="H170" s="84"/>
      <c r="I170" s="82"/>
      <c r="J170" s="91">
        <v>800000</v>
      </c>
      <c r="K170" s="82">
        <f t="shared" si="20"/>
        <v>850000</v>
      </c>
      <c r="L170" s="233">
        <f t="shared" si="21"/>
        <v>925000</v>
      </c>
      <c r="M170" s="336">
        <f t="shared" si="24"/>
        <v>975000</v>
      </c>
      <c r="N170" s="371">
        <f t="shared" si="25"/>
        <v>1025000</v>
      </c>
      <c r="O170" s="468"/>
      <c r="P170" s="81"/>
      <c r="Q170" s="81"/>
      <c r="R170" s="80"/>
      <c r="S170" s="126">
        <f t="shared" si="19"/>
        <v>975000</v>
      </c>
      <c r="V170" s="34" t="str">
        <f t="shared" si="22"/>
        <v>120913</v>
      </c>
      <c r="W170" s="34" t="str">
        <f t="shared" si="23"/>
        <v>220913</v>
      </c>
    </row>
    <row r="171" spans="1:23" s="34" customFormat="1" ht="20.25" customHeight="1" x14ac:dyDescent="0.2">
      <c r="A171" s="80">
        <v>16</v>
      </c>
      <c r="B171" s="30" t="s">
        <v>1</v>
      </c>
      <c r="C171" s="29" t="s">
        <v>0</v>
      </c>
      <c r="D171" s="86" t="s">
        <v>87</v>
      </c>
      <c r="E171" s="37" t="s">
        <v>86</v>
      </c>
      <c r="F171" s="85"/>
      <c r="G171" s="84"/>
      <c r="H171" s="84"/>
      <c r="I171" s="82"/>
      <c r="J171" s="91">
        <v>800000</v>
      </c>
      <c r="K171" s="82">
        <f t="shared" si="20"/>
        <v>850000</v>
      </c>
      <c r="L171" s="233">
        <f t="shared" si="21"/>
        <v>925000</v>
      </c>
      <c r="M171" s="336">
        <f t="shared" si="24"/>
        <v>975000</v>
      </c>
      <c r="N171" s="371">
        <f t="shared" si="25"/>
        <v>1025000</v>
      </c>
      <c r="O171" s="468"/>
      <c r="P171" s="81"/>
      <c r="Q171" s="81"/>
      <c r="R171" s="80"/>
      <c r="S171" s="126">
        <f t="shared" si="19"/>
        <v>975000</v>
      </c>
      <c r="V171" s="34" t="str">
        <f t="shared" si="22"/>
        <v>120914</v>
      </c>
      <c r="W171" s="34" t="str">
        <f t="shared" si="23"/>
        <v>220914</v>
      </c>
    </row>
    <row r="172" spans="1:23" s="34" customFormat="1" ht="20.25" customHeight="1" x14ac:dyDescent="0.2">
      <c r="A172" s="80">
        <v>17</v>
      </c>
      <c r="B172" s="30" t="s">
        <v>1</v>
      </c>
      <c r="C172" s="29" t="s">
        <v>0</v>
      </c>
      <c r="D172" s="86" t="s">
        <v>85</v>
      </c>
      <c r="E172" s="37" t="s">
        <v>84</v>
      </c>
      <c r="F172" s="85"/>
      <c r="G172" s="84"/>
      <c r="H172" s="84"/>
      <c r="I172" s="82"/>
      <c r="J172" s="91">
        <v>800000</v>
      </c>
      <c r="K172" s="82">
        <f t="shared" si="20"/>
        <v>850000</v>
      </c>
      <c r="L172" s="233">
        <f t="shared" si="21"/>
        <v>925000</v>
      </c>
      <c r="M172" s="336">
        <f t="shared" si="24"/>
        <v>975000</v>
      </c>
      <c r="N172" s="371">
        <f t="shared" si="25"/>
        <v>1025000</v>
      </c>
      <c r="O172" s="468"/>
      <c r="P172" s="81"/>
      <c r="Q172" s="81"/>
      <c r="R172" s="80"/>
      <c r="S172" s="126">
        <f t="shared" si="19"/>
        <v>975000</v>
      </c>
      <c r="V172" s="34" t="str">
        <f t="shared" si="22"/>
        <v>120915</v>
      </c>
      <c r="W172" s="34" t="str">
        <f t="shared" si="23"/>
        <v>220915</v>
      </c>
    </row>
    <row r="173" spans="1:23" s="34" customFormat="1" ht="20.25" customHeight="1" x14ac:dyDescent="0.2">
      <c r="A173" s="80">
        <v>18</v>
      </c>
      <c r="B173" s="30" t="s">
        <v>1</v>
      </c>
      <c r="C173" s="29" t="s">
        <v>0</v>
      </c>
      <c r="D173" s="86" t="s">
        <v>83</v>
      </c>
      <c r="E173" s="37" t="s">
        <v>82</v>
      </c>
      <c r="F173" s="85"/>
      <c r="G173" s="84"/>
      <c r="H173" s="84"/>
      <c r="I173" s="82"/>
      <c r="J173" s="91">
        <v>800000</v>
      </c>
      <c r="K173" s="82">
        <f t="shared" si="20"/>
        <v>850000</v>
      </c>
      <c r="L173" s="233">
        <f t="shared" si="21"/>
        <v>925000</v>
      </c>
      <c r="M173" s="336">
        <f t="shared" si="24"/>
        <v>975000</v>
      </c>
      <c r="N173" s="371">
        <f t="shared" si="25"/>
        <v>1025000</v>
      </c>
      <c r="O173" s="468"/>
      <c r="P173" s="81"/>
      <c r="Q173" s="81"/>
      <c r="R173" s="80"/>
      <c r="S173" s="126">
        <f t="shared" si="19"/>
        <v>975000</v>
      </c>
      <c r="V173" s="34" t="str">
        <f t="shared" si="22"/>
        <v>120916</v>
      </c>
      <c r="W173" s="34" t="str">
        <f t="shared" si="23"/>
        <v>220916</v>
      </c>
    </row>
    <row r="174" spans="1:23" s="34" customFormat="1" ht="20.25" customHeight="1" x14ac:dyDescent="0.2">
      <c r="A174" s="80">
        <v>19</v>
      </c>
      <c r="B174" s="30" t="s">
        <v>1</v>
      </c>
      <c r="C174" s="29" t="s">
        <v>0</v>
      </c>
      <c r="D174" s="86" t="s">
        <v>81</v>
      </c>
      <c r="E174" s="37" t="s">
        <v>80</v>
      </c>
      <c r="F174" s="85"/>
      <c r="G174" s="84"/>
      <c r="H174" s="84"/>
      <c r="I174" s="82"/>
      <c r="J174" s="91">
        <v>800000</v>
      </c>
      <c r="K174" s="82">
        <f t="shared" si="20"/>
        <v>850000</v>
      </c>
      <c r="L174" s="233">
        <f t="shared" si="21"/>
        <v>925000</v>
      </c>
      <c r="M174" s="336">
        <f t="shared" si="24"/>
        <v>975000</v>
      </c>
      <c r="N174" s="371">
        <f t="shared" si="25"/>
        <v>1025000</v>
      </c>
      <c r="O174" s="468"/>
      <c r="P174" s="81"/>
      <c r="Q174" s="81"/>
      <c r="R174" s="80"/>
      <c r="S174" s="126">
        <f t="shared" si="19"/>
        <v>975000</v>
      </c>
      <c r="V174" s="34" t="str">
        <f t="shared" si="22"/>
        <v>120918</v>
      </c>
      <c r="W174" s="34" t="str">
        <f t="shared" si="23"/>
        <v>220918</v>
      </c>
    </row>
    <row r="175" spans="1:23" s="34" customFormat="1" ht="20.25" customHeight="1" x14ac:dyDescent="0.2">
      <c r="A175" s="80">
        <v>20</v>
      </c>
      <c r="B175" s="30" t="s">
        <v>1</v>
      </c>
      <c r="C175" s="29" t="s">
        <v>0</v>
      </c>
      <c r="D175" s="86" t="s">
        <v>79</v>
      </c>
      <c r="E175" s="37" t="s">
        <v>78</v>
      </c>
      <c r="F175" s="85"/>
      <c r="G175" s="84"/>
      <c r="H175" s="84"/>
      <c r="I175" s="82"/>
      <c r="J175" s="91">
        <v>650000</v>
      </c>
      <c r="K175" s="82">
        <f t="shared" si="20"/>
        <v>700000</v>
      </c>
      <c r="L175" s="233">
        <f t="shared" si="21"/>
        <v>775000</v>
      </c>
      <c r="M175" s="336">
        <f t="shared" si="24"/>
        <v>825000</v>
      </c>
      <c r="N175" s="371">
        <f t="shared" si="25"/>
        <v>875000</v>
      </c>
      <c r="O175" s="468"/>
      <c r="P175" s="81"/>
      <c r="Q175" s="81"/>
      <c r="R175" s="80"/>
      <c r="S175" s="126">
        <f t="shared" si="19"/>
        <v>825000</v>
      </c>
      <c r="V175" s="34" t="str">
        <f t="shared" si="22"/>
        <v>120919</v>
      </c>
      <c r="W175" s="34" t="str">
        <f t="shared" si="23"/>
        <v>220919</v>
      </c>
    </row>
    <row r="176" spans="1:23" s="34" customFormat="1" ht="20.25" customHeight="1" x14ac:dyDescent="0.2">
      <c r="A176" s="80">
        <v>21</v>
      </c>
      <c r="B176" s="30" t="s">
        <v>1</v>
      </c>
      <c r="C176" s="29" t="s">
        <v>0</v>
      </c>
      <c r="D176" s="86" t="s">
        <v>77</v>
      </c>
      <c r="E176" s="49" t="s">
        <v>76</v>
      </c>
      <c r="F176" s="85"/>
      <c r="G176" s="84"/>
      <c r="H176" s="84"/>
      <c r="I176" s="82"/>
      <c r="J176" s="91">
        <v>800000</v>
      </c>
      <c r="K176" s="82">
        <f t="shared" si="20"/>
        <v>850000</v>
      </c>
      <c r="L176" s="233">
        <f t="shared" si="21"/>
        <v>925000</v>
      </c>
      <c r="M176" s="336">
        <f t="shared" si="24"/>
        <v>975000</v>
      </c>
      <c r="N176" s="371">
        <f t="shared" si="25"/>
        <v>1025000</v>
      </c>
      <c r="O176" s="468"/>
      <c r="P176" s="81"/>
      <c r="Q176" s="81"/>
      <c r="R176" s="90"/>
      <c r="S176" s="126">
        <f t="shared" si="19"/>
        <v>975000</v>
      </c>
      <c r="V176" s="34" t="str">
        <f t="shared" si="22"/>
        <v>120920</v>
      </c>
      <c r="W176" s="34" t="str">
        <f t="shared" si="23"/>
        <v>220920</v>
      </c>
    </row>
    <row r="177" spans="1:23" s="34" customFormat="1" ht="20.25" customHeight="1" x14ac:dyDescent="0.2">
      <c r="A177" s="80">
        <v>22</v>
      </c>
      <c r="B177" s="30" t="s">
        <v>1</v>
      </c>
      <c r="C177" s="29" t="s">
        <v>0</v>
      </c>
      <c r="D177" s="86" t="s">
        <v>75</v>
      </c>
      <c r="E177" s="49" t="s">
        <v>74</v>
      </c>
      <c r="F177" s="85"/>
      <c r="G177" s="84"/>
      <c r="H177" s="84"/>
      <c r="I177" s="82"/>
      <c r="J177" s="91">
        <v>800000</v>
      </c>
      <c r="K177" s="82">
        <f t="shared" si="20"/>
        <v>850000</v>
      </c>
      <c r="L177" s="233">
        <f t="shared" si="21"/>
        <v>925000</v>
      </c>
      <c r="M177" s="336">
        <f t="shared" si="24"/>
        <v>975000</v>
      </c>
      <c r="N177" s="371">
        <f t="shared" si="25"/>
        <v>1025000</v>
      </c>
      <c r="O177" s="468"/>
      <c r="P177" s="81"/>
      <c r="Q177" s="81"/>
      <c r="R177" s="80"/>
      <c r="S177" s="126">
        <f t="shared" si="19"/>
        <v>975000</v>
      </c>
      <c r="V177" s="34" t="str">
        <f t="shared" si="22"/>
        <v>120921</v>
      </c>
      <c r="W177" s="34" t="str">
        <f t="shared" si="23"/>
        <v>220921</v>
      </c>
    </row>
    <row r="178" spans="1:23" s="34" customFormat="1" ht="20.25" customHeight="1" x14ac:dyDescent="0.2">
      <c r="A178" s="80">
        <v>23</v>
      </c>
      <c r="B178" s="30" t="s">
        <v>1</v>
      </c>
      <c r="C178" s="29" t="s">
        <v>0</v>
      </c>
      <c r="D178" s="86" t="s">
        <v>73</v>
      </c>
      <c r="E178" s="49" t="s">
        <v>72</v>
      </c>
      <c r="F178" s="85"/>
      <c r="G178" s="84"/>
      <c r="H178" s="84"/>
      <c r="I178" s="82"/>
      <c r="J178" s="91">
        <v>800000</v>
      </c>
      <c r="K178" s="82">
        <f t="shared" si="20"/>
        <v>850000</v>
      </c>
      <c r="L178" s="233">
        <f t="shared" si="21"/>
        <v>925000</v>
      </c>
      <c r="M178" s="336">
        <f t="shared" si="24"/>
        <v>975000</v>
      </c>
      <c r="N178" s="371">
        <f t="shared" si="25"/>
        <v>1025000</v>
      </c>
      <c r="O178" s="468"/>
      <c r="P178" s="81"/>
      <c r="Q178" s="81"/>
      <c r="R178" s="90"/>
      <c r="S178" s="126">
        <f t="shared" si="19"/>
        <v>975000</v>
      </c>
      <c r="V178" s="34" t="str">
        <f t="shared" si="22"/>
        <v>120922</v>
      </c>
      <c r="W178" s="34" t="str">
        <f t="shared" si="23"/>
        <v>220922</v>
      </c>
    </row>
    <row r="179" spans="1:23" s="34" customFormat="1" ht="20.25" customHeight="1" x14ac:dyDescent="0.2">
      <c r="A179" s="80">
        <v>24</v>
      </c>
      <c r="B179" s="30" t="s">
        <v>1</v>
      </c>
      <c r="C179" s="29" t="s">
        <v>0</v>
      </c>
      <c r="D179" s="86" t="s">
        <v>71</v>
      </c>
      <c r="E179" s="89" t="s">
        <v>471</v>
      </c>
      <c r="F179" s="85"/>
      <c r="G179" s="84"/>
      <c r="H179" s="84"/>
      <c r="I179" s="82"/>
      <c r="J179" s="83">
        <v>700000</v>
      </c>
      <c r="K179" s="82">
        <f t="shared" si="20"/>
        <v>750000</v>
      </c>
      <c r="L179" s="233">
        <f t="shared" si="21"/>
        <v>825000</v>
      </c>
      <c r="M179" s="336">
        <f t="shared" si="24"/>
        <v>875000</v>
      </c>
      <c r="N179" s="371">
        <f t="shared" si="25"/>
        <v>925000</v>
      </c>
      <c r="O179" s="468"/>
      <c r="P179" s="81"/>
      <c r="Q179" s="81"/>
      <c r="R179" s="80"/>
      <c r="S179" s="126">
        <f t="shared" si="19"/>
        <v>875000</v>
      </c>
      <c r="V179" s="34" t="str">
        <f t="shared" si="22"/>
        <v>120927</v>
      </c>
      <c r="W179" s="34" t="str">
        <f t="shared" si="23"/>
        <v>220927</v>
      </c>
    </row>
    <row r="180" spans="1:23" s="635" customFormat="1" ht="20.25" customHeight="1" x14ac:dyDescent="0.2">
      <c r="A180" s="647">
        <v>25</v>
      </c>
      <c r="B180" s="648" t="s">
        <v>1</v>
      </c>
      <c r="C180" s="649" t="s">
        <v>0</v>
      </c>
      <c r="D180" s="650" t="s">
        <v>70</v>
      </c>
      <c r="E180" s="651" t="s">
        <v>69</v>
      </c>
      <c r="F180" s="631"/>
      <c r="G180" s="632"/>
      <c r="H180" s="632"/>
      <c r="I180" s="633"/>
      <c r="J180" s="652">
        <v>500000</v>
      </c>
      <c r="K180" s="633">
        <f t="shared" si="20"/>
        <v>550000</v>
      </c>
      <c r="L180" s="653">
        <f t="shared" si="21"/>
        <v>625000</v>
      </c>
      <c r="M180" s="654">
        <f t="shared" si="24"/>
        <v>675000</v>
      </c>
      <c r="N180" s="654">
        <f t="shared" si="25"/>
        <v>725000</v>
      </c>
      <c r="O180" s="655"/>
      <c r="P180" s="656"/>
      <c r="Q180" s="656"/>
      <c r="R180" s="647"/>
      <c r="S180" s="657">
        <f t="shared" si="19"/>
        <v>675000</v>
      </c>
      <c r="V180" s="635" t="str">
        <f t="shared" si="22"/>
        <v>120928</v>
      </c>
      <c r="W180" s="635" t="str">
        <f t="shared" si="23"/>
        <v>220928</v>
      </c>
    </row>
    <row r="181" spans="1:23" s="34" customFormat="1" ht="20.25" customHeight="1" x14ac:dyDescent="0.2">
      <c r="A181" s="80">
        <v>26</v>
      </c>
      <c r="B181" s="39" t="s">
        <v>1</v>
      </c>
      <c r="C181" s="29" t="s">
        <v>0</v>
      </c>
      <c r="D181" s="86" t="s">
        <v>68</v>
      </c>
      <c r="E181" s="89" t="s">
        <v>67</v>
      </c>
      <c r="F181" s="85"/>
      <c r="G181" s="84"/>
      <c r="H181" s="84"/>
      <c r="I181" s="82"/>
      <c r="J181" s="83">
        <v>800000</v>
      </c>
      <c r="K181" s="82">
        <f t="shared" si="20"/>
        <v>850000</v>
      </c>
      <c r="L181" s="233">
        <f t="shared" si="21"/>
        <v>925000</v>
      </c>
      <c r="M181" s="336">
        <f t="shared" si="24"/>
        <v>975000</v>
      </c>
      <c r="N181" s="371">
        <f t="shared" si="25"/>
        <v>1025000</v>
      </c>
      <c r="O181" s="468"/>
      <c r="P181" s="81"/>
      <c r="Q181" s="81"/>
      <c r="R181" s="80"/>
      <c r="S181" s="126">
        <f t="shared" si="19"/>
        <v>975000</v>
      </c>
      <c r="V181" s="34" t="str">
        <f t="shared" si="22"/>
        <v>120930</v>
      </c>
      <c r="W181" s="34" t="str">
        <f t="shared" si="23"/>
        <v>220930</v>
      </c>
    </row>
    <row r="182" spans="1:23" s="34" customFormat="1" ht="20.25" customHeight="1" x14ac:dyDescent="0.2">
      <c r="A182" s="80">
        <v>27</v>
      </c>
      <c r="B182" s="39" t="s">
        <v>1</v>
      </c>
      <c r="C182" s="29" t="s">
        <v>0</v>
      </c>
      <c r="D182" s="86" t="s">
        <v>65</v>
      </c>
      <c r="E182" s="89" t="s">
        <v>64</v>
      </c>
      <c r="F182" s="85"/>
      <c r="G182" s="84"/>
      <c r="H182" s="84"/>
      <c r="I182" s="82"/>
      <c r="J182" s="83">
        <v>800000</v>
      </c>
      <c r="K182" s="82">
        <f t="shared" si="20"/>
        <v>850000</v>
      </c>
      <c r="L182" s="233">
        <f t="shared" si="21"/>
        <v>925000</v>
      </c>
      <c r="M182" s="336">
        <f t="shared" si="24"/>
        <v>975000</v>
      </c>
      <c r="N182" s="371">
        <f t="shared" si="25"/>
        <v>1025000</v>
      </c>
      <c r="O182" s="468"/>
      <c r="P182" s="81"/>
      <c r="Q182" s="81"/>
      <c r="R182" s="80"/>
      <c r="S182" s="126">
        <f t="shared" si="19"/>
        <v>975000</v>
      </c>
      <c r="V182" s="34" t="str">
        <f t="shared" si="22"/>
        <v>120931</v>
      </c>
      <c r="W182" s="34" t="str">
        <f t="shared" si="23"/>
        <v>220931</v>
      </c>
    </row>
    <row r="183" spans="1:23" s="34" customFormat="1" ht="20.25" customHeight="1" x14ac:dyDescent="0.2">
      <c r="A183" s="80"/>
      <c r="B183" s="88"/>
      <c r="C183" s="87"/>
      <c r="D183" s="86"/>
      <c r="E183" s="80"/>
      <c r="F183" s="85"/>
      <c r="G183" s="84"/>
      <c r="H183" s="84"/>
      <c r="I183" s="82"/>
      <c r="J183" s="83"/>
      <c r="K183" s="82"/>
      <c r="L183" s="83"/>
      <c r="M183" s="128"/>
      <c r="N183" s="328"/>
      <c r="O183" s="471"/>
      <c r="P183" s="81"/>
      <c r="Q183" s="81"/>
      <c r="R183" s="80"/>
      <c r="S183" s="23"/>
    </row>
    <row r="184" spans="1:23" s="13" customFormat="1" ht="20.25" customHeight="1" thickBot="1" x14ac:dyDescent="0.25">
      <c r="A184" s="70"/>
      <c r="B184" s="79"/>
      <c r="C184" s="78"/>
      <c r="D184" s="77"/>
      <c r="E184" s="70"/>
      <c r="F184" s="76"/>
      <c r="G184" s="75"/>
      <c r="H184" s="75"/>
      <c r="I184" s="74"/>
      <c r="J184" s="73">
        <f>SUM(J156:J183)</f>
        <v>21050000</v>
      </c>
      <c r="K184" s="198">
        <f>SUM(K156:K183)</f>
        <v>22400000</v>
      </c>
      <c r="L184" s="245"/>
      <c r="M184" s="123">
        <f>SUM(M156:M183)</f>
        <v>25775000</v>
      </c>
      <c r="N184" s="329"/>
      <c r="O184" s="472"/>
      <c r="P184" s="71"/>
      <c r="Q184" s="71"/>
      <c r="R184" s="70"/>
    </row>
    <row r="185" spans="1:23" s="2" customFormat="1" ht="21.75" customHeight="1" x14ac:dyDescent="0.2">
      <c r="A185" s="24">
        <v>1</v>
      </c>
      <c r="B185" s="39" t="s">
        <v>1</v>
      </c>
      <c r="C185" s="29" t="s">
        <v>261</v>
      </c>
      <c r="D185" s="31" t="s">
        <v>63</v>
      </c>
      <c r="E185" s="68" t="s">
        <v>62</v>
      </c>
      <c r="F185" s="27"/>
      <c r="G185" s="26"/>
      <c r="H185" s="26"/>
      <c r="I185" s="69">
        <v>650000</v>
      </c>
      <c r="J185" s="48">
        <f t="shared" ref="J185:J205" si="26">SUM(I185+75000)</f>
        <v>725000</v>
      </c>
      <c r="K185" s="25">
        <f t="shared" ref="K185:K212" si="27">SUM(J185+50000)</f>
        <v>775000</v>
      </c>
      <c r="L185" s="233">
        <f t="shared" ref="L185:L213" si="28">SUM(K185+75000)</f>
        <v>850000</v>
      </c>
      <c r="M185" s="336">
        <f>SUM(L185+50000)</f>
        <v>900000</v>
      </c>
      <c r="N185" s="371">
        <f>SUM(M185+50000)</f>
        <v>950000</v>
      </c>
      <c r="O185" s="463">
        <f>SUM(N185*12/10)</f>
        <v>1140000</v>
      </c>
      <c r="P185" s="43"/>
      <c r="Q185" s="43"/>
      <c r="R185" s="24"/>
      <c r="S185" s="23">
        <f t="shared" ref="S185:S214" si="29">SUM(L185)</f>
        <v>850000</v>
      </c>
      <c r="T185" s="34"/>
      <c r="U185" s="22"/>
      <c r="V185" s="34" t="str">
        <f t="shared" ref="V185:V214" si="30">"1"&amp;D185</f>
        <v>120860</v>
      </c>
      <c r="W185" s="34" t="str">
        <f t="shared" ref="W185:W214" si="31">"2"&amp;D185</f>
        <v>220860</v>
      </c>
    </row>
    <row r="186" spans="1:23" s="2" customFormat="1" ht="21.75" customHeight="1" x14ac:dyDescent="0.2">
      <c r="A186" s="24">
        <v>2</v>
      </c>
      <c r="B186" s="39" t="s">
        <v>1</v>
      </c>
      <c r="C186" s="29" t="s">
        <v>261</v>
      </c>
      <c r="D186" s="31" t="s">
        <v>61</v>
      </c>
      <c r="E186" s="49" t="s">
        <v>60</v>
      </c>
      <c r="F186" s="27"/>
      <c r="G186" s="26"/>
      <c r="H186" s="26"/>
      <c r="I186" s="25">
        <v>800000</v>
      </c>
      <c r="J186" s="48">
        <f t="shared" si="26"/>
        <v>875000</v>
      </c>
      <c r="K186" s="25">
        <f t="shared" si="27"/>
        <v>925000</v>
      </c>
      <c r="L186" s="233">
        <f t="shared" si="28"/>
        <v>1000000</v>
      </c>
      <c r="M186" s="336">
        <f t="shared" ref="M186:M214" si="32">SUM(L186+50000)</f>
        <v>1050000</v>
      </c>
      <c r="N186" s="371">
        <f t="shared" ref="N186:N214" si="33">SUM(M186+50000)</f>
        <v>1100000</v>
      </c>
      <c r="O186" s="463">
        <f t="shared" ref="O186:O214" si="34">SUM(N186*12/10)</f>
        <v>1320000</v>
      </c>
      <c r="P186" s="43"/>
      <c r="Q186" s="43"/>
      <c r="R186" s="24"/>
      <c r="S186" s="23">
        <f t="shared" si="29"/>
        <v>1000000</v>
      </c>
      <c r="T186" s="34"/>
      <c r="U186" s="22"/>
      <c r="V186" s="34" t="str">
        <f t="shared" si="30"/>
        <v>120861</v>
      </c>
      <c r="W186" s="34" t="str">
        <f t="shared" si="31"/>
        <v>220861</v>
      </c>
    </row>
    <row r="187" spans="1:23" s="2" customFormat="1" ht="21.75" customHeight="1" x14ac:dyDescent="0.2">
      <c r="A187" s="24">
        <v>3</v>
      </c>
      <c r="B187" s="39" t="s">
        <v>1</v>
      </c>
      <c r="C187" s="29" t="s">
        <v>261</v>
      </c>
      <c r="D187" s="31" t="s">
        <v>59</v>
      </c>
      <c r="E187" s="49" t="s">
        <v>58</v>
      </c>
      <c r="F187" s="27"/>
      <c r="G187" s="26"/>
      <c r="H187" s="26"/>
      <c r="I187" s="35">
        <v>600000</v>
      </c>
      <c r="J187" s="48">
        <f t="shared" si="26"/>
        <v>675000</v>
      </c>
      <c r="K187" s="25">
        <f t="shared" si="27"/>
        <v>725000</v>
      </c>
      <c r="L187" s="233">
        <f t="shared" si="28"/>
        <v>800000</v>
      </c>
      <c r="M187" s="336">
        <f t="shared" si="32"/>
        <v>850000</v>
      </c>
      <c r="N187" s="371">
        <f t="shared" si="33"/>
        <v>900000</v>
      </c>
      <c r="O187" s="463">
        <f t="shared" si="34"/>
        <v>1080000</v>
      </c>
      <c r="P187" s="43"/>
      <c r="Q187" s="43"/>
      <c r="R187" s="24"/>
      <c r="S187" s="23">
        <f t="shared" si="29"/>
        <v>800000</v>
      </c>
      <c r="T187" s="34"/>
      <c r="U187" s="22"/>
      <c r="V187" s="34" t="str">
        <f t="shared" si="30"/>
        <v>120863</v>
      </c>
      <c r="W187" s="34" t="str">
        <f t="shared" si="31"/>
        <v>220863</v>
      </c>
    </row>
    <row r="188" spans="1:23" s="2" customFormat="1" ht="21.75" customHeight="1" x14ac:dyDescent="0.2">
      <c r="A188" s="24">
        <v>4</v>
      </c>
      <c r="B188" s="39" t="s">
        <v>1</v>
      </c>
      <c r="C188" s="29" t="s">
        <v>261</v>
      </c>
      <c r="D188" s="31" t="s">
        <v>57</v>
      </c>
      <c r="E188" s="49" t="s">
        <v>56</v>
      </c>
      <c r="F188" s="27"/>
      <c r="G188" s="26"/>
      <c r="H188" s="26"/>
      <c r="I188" s="25">
        <v>800000</v>
      </c>
      <c r="J188" s="48">
        <f t="shared" si="26"/>
        <v>875000</v>
      </c>
      <c r="K188" s="25">
        <f t="shared" si="27"/>
        <v>925000</v>
      </c>
      <c r="L188" s="233">
        <f t="shared" si="28"/>
        <v>1000000</v>
      </c>
      <c r="M188" s="336">
        <f t="shared" si="32"/>
        <v>1050000</v>
      </c>
      <c r="N188" s="371">
        <f t="shared" si="33"/>
        <v>1100000</v>
      </c>
      <c r="O188" s="463">
        <f t="shared" si="34"/>
        <v>1320000</v>
      </c>
      <c r="P188" s="43"/>
      <c r="Q188" s="43"/>
      <c r="R188" s="24"/>
      <c r="S188" s="23">
        <f t="shared" si="29"/>
        <v>1000000</v>
      </c>
      <c r="T188" s="34"/>
      <c r="U188" s="22"/>
      <c r="V188" s="34" t="str">
        <f t="shared" si="30"/>
        <v>120864</v>
      </c>
      <c r="W188" s="34" t="str">
        <f t="shared" si="31"/>
        <v>220864</v>
      </c>
    </row>
    <row r="189" spans="1:23" s="2" customFormat="1" ht="21.75" customHeight="1" x14ac:dyDescent="0.2">
      <c r="A189" s="24">
        <v>5</v>
      </c>
      <c r="B189" s="39" t="s">
        <v>1</v>
      </c>
      <c r="C189" s="29" t="s">
        <v>261</v>
      </c>
      <c r="D189" s="31" t="s">
        <v>55</v>
      </c>
      <c r="E189" s="49" t="s">
        <v>54</v>
      </c>
      <c r="F189" s="27"/>
      <c r="G189" s="26"/>
      <c r="H189" s="26"/>
      <c r="I189" s="35">
        <v>500000</v>
      </c>
      <c r="J189" s="48">
        <f t="shared" si="26"/>
        <v>575000</v>
      </c>
      <c r="K189" s="25">
        <f t="shared" si="27"/>
        <v>625000</v>
      </c>
      <c r="L189" s="233">
        <f t="shared" si="28"/>
        <v>700000</v>
      </c>
      <c r="M189" s="336">
        <f t="shared" si="32"/>
        <v>750000</v>
      </c>
      <c r="N189" s="371">
        <f t="shared" si="33"/>
        <v>800000</v>
      </c>
      <c r="O189" s="463">
        <f t="shared" si="34"/>
        <v>960000</v>
      </c>
      <c r="P189" s="43"/>
      <c r="Q189" s="43"/>
      <c r="R189" s="24"/>
      <c r="S189" s="23">
        <f t="shared" si="29"/>
        <v>700000</v>
      </c>
      <c r="T189" s="34"/>
      <c r="U189" s="22"/>
      <c r="V189" s="34" t="str">
        <f t="shared" si="30"/>
        <v>120865</v>
      </c>
      <c r="W189" s="34" t="str">
        <f t="shared" si="31"/>
        <v>220865</v>
      </c>
    </row>
    <row r="190" spans="1:23" s="2" customFormat="1" ht="21.75" customHeight="1" x14ac:dyDescent="0.2">
      <c r="A190" s="24">
        <v>6</v>
      </c>
      <c r="B190" s="30" t="s">
        <v>1</v>
      </c>
      <c r="C190" s="29" t="s">
        <v>261</v>
      </c>
      <c r="D190" s="31" t="s">
        <v>53</v>
      </c>
      <c r="E190" s="49" t="s">
        <v>52</v>
      </c>
      <c r="F190" s="27"/>
      <c r="G190" s="26"/>
      <c r="H190" s="26"/>
      <c r="I190" s="25">
        <v>800000</v>
      </c>
      <c r="J190" s="48">
        <f t="shared" si="26"/>
        <v>875000</v>
      </c>
      <c r="K190" s="25">
        <f t="shared" si="27"/>
        <v>925000</v>
      </c>
      <c r="L190" s="233">
        <f t="shared" si="28"/>
        <v>1000000</v>
      </c>
      <c r="M190" s="336">
        <f t="shared" si="32"/>
        <v>1050000</v>
      </c>
      <c r="N190" s="371">
        <f t="shared" si="33"/>
        <v>1100000</v>
      </c>
      <c r="O190" s="463">
        <f t="shared" si="34"/>
        <v>1320000</v>
      </c>
      <c r="P190" s="43"/>
      <c r="Q190" s="43"/>
      <c r="R190" s="24"/>
      <c r="S190" s="23">
        <f t="shared" si="29"/>
        <v>1000000</v>
      </c>
      <c r="T190" s="34"/>
      <c r="U190" s="22"/>
      <c r="V190" s="34" t="str">
        <f t="shared" si="30"/>
        <v>120866</v>
      </c>
      <c r="W190" s="34" t="str">
        <f t="shared" si="31"/>
        <v>220866</v>
      </c>
    </row>
    <row r="191" spans="1:23" s="2" customFormat="1" ht="21.75" customHeight="1" x14ac:dyDescent="0.2">
      <c r="A191" s="24">
        <v>7</v>
      </c>
      <c r="B191" s="30" t="s">
        <v>1</v>
      </c>
      <c r="C191" s="29" t="s">
        <v>261</v>
      </c>
      <c r="D191" s="31" t="s">
        <v>51</v>
      </c>
      <c r="E191" s="49" t="s">
        <v>50</v>
      </c>
      <c r="F191" s="27"/>
      <c r="G191" s="26"/>
      <c r="H191" s="26"/>
      <c r="I191" s="25">
        <v>800000</v>
      </c>
      <c r="J191" s="48">
        <f t="shared" si="26"/>
        <v>875000</v>
      </c>
      <c r="K191" s="25">
        <f t="shared" si="27"/>
        <v>925000</v>
      </c>
      <c r="L191" s="233">
        <f t="shared" si="28"/>
        <v>1000000</v>
      </c>
      <c r="M191" s="336">
        <f t="shared" si="32"/>
        <v>1050000</v>
      </c>
      <c r="N191" s="371">
        <f t="shared" si="33"/>
        <v>1100000</v>
      </c>
      <c r="O191" s="463">
        <f t="shared" si="34"/>
        <v>1320000</v>
      </c>
      <c r="P191" s="43"/>
      <c r="Q191" s="43"/>
      <c r="R191" s="24"/>
      <c r="S191" s="23">
        <f t="shared" si="29"/>
        <v>1000000</v>
      </c>
      <c r="T191" s="34"/>
      <c r="U191" s="22"/>
      <c r="V191" s="34" t="str">
        <f t="shared" si="30"/>
        <v>120867</v>
      </c>
      <c r="W191" s="34" t="str">
        <f t="shared" si="31"/>
        <v>220867</v>
      </c>
    </row>
    <row r="192" spans="1:23" s="2" customFormat="1" ht="21.75" customHeight="1" x14ac:dyDescent="0.2">
      <c r="A192" s="24">
        <v>8</v>
      </c>
      <c r="B192" s="39" t="s">
        <v>1</v>
      </c>
      <c r="C192" s="29" t="s">
        <v>261</v>
      </c>
      <c r="D192" s="31" t="s">
        <v>49</v>
      </c>
      <c r="E192" s="49" t="s">
        <v>48</v>
      </c>
      <c r="F192" s="27"/>
      <c r="G192" s="26"/>
      <c r="H192" s="26"/>
      <c r="I192" s="25">
        <v>800000</v>
      </c>
      <c r="J192" s="48">
        <f t="shared" si="26"/>
        <v>875000</v>
      </c>
      <c r="K192" s="25">
        <f t="shared" si="27"/>
        <v>925000</v>
      </c>
      <c r="L192" s="233">
        <f t="shared" si="28"/>
        <v>1000000</v>
      </c>
      <c r="M192" s="336">
        <f t="shared" si="32"/>
        <v>1050000</v>
      </c>
      <c r="N192" s="371">
        <f t="shared" si="33"/>
        <v>1100000</v>
      </c>
      <c r="O192" s="463">
        <f t="shared" si="34"/>
        <v>1320000</v>
      </c>
      <c r="P192" s="43"/>
      <c r="Q192" s="43"/>
      <c r="R192" s="24"/>
      <c r="S192" s="23">
        <f t="shared" si="29"/>
        <v>1000000</v>
      </c>
      <c r="T192" s="34"/>
      <c r="U192" s="22"/>
      <c r="V192" s="34" t="str">
        <f t="shared" si="30"/>
        <v>120868</v>
      </c>
      <c r="W192" s="34" t="str">
        <f t="shared" si="31"/>
        <v>220868</v>
      </c>
    </row>
    <row r="193" spans="1:23" s="2" customFormat="1" ht="21.75" customHeight="1" x14ac:dyDescent="0.2">
      <c r="A193" s="24">
        <v>9</v>
      </c>
      <c r="B193" s="39" t="s">
        <v>1</v>
      </c>
      <c r="C193" s="29" t="s">
        <v>261</v>
      </c>
      <c r="D193" s="31" t="s">
        <v>47</v>
      </c>
      <c r="E193" s="68" t="s">
        <v>46</v>
      </c>
      <c r="F193" s="27"/>
      <c r="G193" s="26"/>
      <c r="H193" s="26"/>
      <c r="I193" s="25">
        <v>800000</v>
      </c>
      <c r="J193" s="48">
        <f t="shared" si="26"/>
        <v>875000</v>
      </c>
      <c r="K193" s="25">
        <f t="shared" si="27"/>
        <v>925000</v>
      </c>
      <c r="L193" s="233">
        <f t="shared" si="28"/>
        <v>1000000</v>
      </c>
      <c r="M193" s="336">
        <f t="shared" si="32"/>
        <v>1050000</v>
      </c>
      <c r="N193" s="371">
        <f t="shared" si="33"/>
        <v>1100000</v>
      </c>
      <c r="O193" s="463">
        <f t="shared" si="34"/>
        <v>1320000</v>
      </c>
      <c r="P193" s="43"/>
      <c r="Q193" s="43"/>
      <c r="R193" s="24"/>
      <c r="S193" s="23">
        <f t="shared" si="29"/>
        <v>1000000</v>
      </c>
      <c r="T193" s="34"/>
      <c r="U193" s="22"/>
      <c r="V193" s="34" t="str">
        <f t="shared" si="30"/>
        <v>120869</v>
      </c>
      <c r="W193" s="34" t="str">
        <f t="shared" si="31"/>
        <v>220869</v>
      </c>
    </row>
    <row r="194" spans="1:23" s="2" customFormat="1" ht="21.75" customHeight="1" x14ac:dyDescent="0.2">
      <c r="A194" s="24">
        <v>10</v>
      </c>
      <c r="B194" s="39" t="s">
        <v>1</v>
      </c>
      <c r="C194" s="29" t="s">
        <v>261</v>
      </c>
      <c r="D194" s="31" t="s">
        <v>45</v>
      </c>
      <c r="E194" s="49" t="s">
        <v>44</v>
      </c>
      <c r="F194" s="27"/>
      <c r="G194" s="26"/>
      <c r="H194" s="26"/>
      <c r="I194" s="25">
        <v>800000</v>
      </c>
      <c r="J194" s="48">
        <f t="shared" si="26"/>
        <v>875000</v>
      </c>
      <c r="K194" s="25">
        <f t="shared" si="27"/>
        <v>925000</v>
      </c>
      <c r="L194" s="233">
        <f t="shared" si="28"/>
        <v>1000000</v>
      </c>
      <c r="M194" s="336">
        <f t="shared" si="32"/>
        <v>1050000</v>
      </c>
      <c r="N194" s="371">
        <f t="shared" si="33"/>
        <v>1100000</v>
      </c>
      <c r="O194" s="463">
        <f t="shared" si="34"/>
        <v>1320000</v>
      </c>
      <c r="P194" s="43"/>
      <c r="Q194" s="43"/>
      <c r="R194" s="24"/>
      <c r="S194" s="23">
        <f t="shared" si="29"/>
        <v>1000000</v>
      </c>
      <c r="T194" s="34"/>
      <c r="U194" s="22"/>
      <c r="V194" s="34" t="str">
        <f t="shared" si="30"/>
        <v>120870</v>
      </c>
      <c r="W194" s="34" t="str">
        <f t="shared" si="31"/>
        <v>220870</v>
      </c>
    </row>
    <row r="195" spans="1:23" s="2" customFormat="1" ht="21.75" customHeight="1" x14ac:dyDescent="0.2">
      <c r="A195" s="24">
        <v>11</v>
      </c>
      <c r="B195" s="39" t="s">
        <v>1</v>
      </c>
      <c r="C195" s="29" t="s">
        <v>261</v>
      </c>
      <c r="D195" s="31" t="s">
        <v>43</v>
      </c>
      <c r="E195" s="49" t="s">
        <v>42</v>
      </c>
      <c r="F195" s="27"/>
      <c r="G195" s="26"/>
      <c r="H195" s="26"/>
      <c r="I195" s="25">
        <v>800000</v>
      </c>
      <c r="J195" s="48">
        <f t="shared" si="26"/>
        <v>875000</v>
      </c>
      <c r="K195" s="25">
        <f t="shared" si="27"/>
        <v>925000</v>
      </c>
      <c r="L195" s="233">
        <f t="shared" si="28"/>
        <v>1000000</v>
      </c>
      <c r="M195" s="336">
        <f t="shared" si="32"/>
        <v>1050000</v>
      </c>
      <c r="N195" s="371">
        <f t="shared" si="33"/>
        <v>1100000</v>
      </c>
      <c r="O195" s="463">
        <f t="shared" si="34"/>
        <v>1320000</v>
      </c>
      <c r="P195" s="43"/>
      <c r="Q195" s="43"/>
      <c r="R195" s="24"/>
      <c r="S195" s="23">
        <f t="shared" si="29"/>
        <v>1000000</v>
      </c>
      <c r="T195" s="34"/>
      <c r="U195" s="22"/>
      <c r="V195" s="34" t="str">
        <f t="shared" si="30"/>
        <v>120871</v>
      </c>
      <c r="W195" s="34" t="str">
        <f t="shared" si="31"/>
        <v>220871</v>
      </c>
    </row>
    <row r="196" spans="1:23" s="2" customFormat="1" ht="21.75" customHeight="1" x14ac:dyDescent="0.2">
      <c r="A196" s="24">
        <v>12</v>
      </c>
      <c r="B196" s="39" t="s">
        <v>1</v>
      </c>
      <c r="C196" s="29" t="s">
        <v>261</v>
      </c>
      <c r="D196" s="31" t="s">
        <v>41</v>
      </c>
      <c r="E196" s="66" t="s">
        <v>40</v>
      </c>
      <c r="F196" s="27"/>
      <c r="G196" s="26"/>
      <c r="H196" s="26"/>
      <c r="I196" s="35">
        <v>600000</v>
      </c>
      <c r="J196" s="48">
        <f t="shared" si="26"/>
        <v>675000</v>
      </c>
      <c r="K196" s="25">
        <f t="shared" si="27"/>
        <v>725000</v>
      </c>
      <c r="L196" s="233">
        <f t="shared" si="28"/>
        <v>800000</v>
      </c>
      <c r="M196" s="336">
        <f t="shared" si="32"/>
        <v>850000</v>
      </c>
      <c r="N196" s="371">
        <f t="shared" si="33"/>
        <v>900000</v>
      </c>
      <c r="O196" s="463">
        <f t="shared" si="34"/>
        <v>1080000</v>
      </c>
      <c r="P196" s="43"/>
      <c r="Q196" s="43"/>
      <c r="R196" s="24"/>
      <c r="S196" s="23">
        <f t="shared" si="29"/>
        <v>800000</v>
      </c>
      <c r="T196" s="34"/>
      <c r="U196" s="22"/>
      <c r="V196" s="34" t="str">
        <f t="shared" si="30"/>
        <v>120872</v>
      </c>
      <c r="W196" s="34" t="str">
        <f t="shared" si="31"/>
        <v>220872</v>
      </c>
    </row>
    <row r="197" spans="1:23" s="2" customFormat="1" ht="21.75" customHeight="1" x14ac:dyDescent="0.2">
      <c r="A197" s="24">
        <v>13</v>
      </c>
      <c r="B197" s="39" t="s">
        <v>1</v>
      </c>
      <c r="C197" s="29" t="s">
        <v>261</v>
      </c>
      <c r="D197" s="31" t="s">
        <v>39</v>
      </c>
      <c r="E197" s="49" t="s">
        <v>38</v>
      </c>
      <c r="F197" s="27"/>
      <c r="G197" s="26"/>
      <c r="H197" s="26"/>
      <c r="I197" s="35">
        <v>800000</v>
      </c>
      <c r="J197" s="48">
        <f t="shared" si="26"/>
        <v>875000</v>
      </c>
      <c r="K197" s="25">
        <f t="shared" si="27"/>
        <v>925000</v>
      </c>
      <c r="L197" s="233">
        <f t="shared" si="28"/>
        <v>1000000</v>
      </c>
      <c r="M197" s="336">
        <f t="shared" si="32"/>
        <v>1050000</v>
      </c>
      <c r="N197" s="371">
        <f t="shared" si="33"/>
        <v>1100000</v>
      </c>
      <c r="O197" s="463">
        <f t="shared" si="34"/>
        <v>1320000</v>
      </c>
      <c r="P197" s="43"/>
      <c r="Q197" s="43"/>
      <c r="R197" s="24"/>
      <c r="S197" s="23">
        <f t="shared" si="29"/>
        <v>1000000</v>
      </c>
      <c r="T197" s="34"/>
      <c r="U197" s="22"/>
      <c r="V197" s="34" t="str">
        <f t="shared" si="30"/>
        <v>120873</v>
      </c>
      <c r="W197" s="34" t="str">
        <f t="shared" si="31"/>
        <v>220873</v>
      </c>
    </row>
    <row r="198" spans="1:23" s="2" customFormat="1" ht="21.75" customHeight="1" x14ac:dyDescent="0.2">
      <c r="A198" s="24">
        <v>14</v>
      </c>
      <c r="B198" s="39" t="s">
        <v>1</v>
      </c>
      <c r="C198" s="29" t="s">
        <v>261</v>
      </c>
      <c r="D198" s="31" t="s">
        <v>37</v>
      </c>
      <c r="E198" s="49" t="s">
        <v>36</v>
      </c>
      <c r="F198" s="27"/>
      <c r="G198" s="26"/>
      <c r="H198" s="26"/>
      <c r="I198" s="35">
        <v>800000</v>
      </c>
      <c r="J198" s="48">
        <f t="shared" si="26"/>
        <v>875000</v>
      </c>
      <c r="K198" s="25">
        <f t="shared" si="27"/>
        <v>925000</v>
      </c>
      <c r="L198" s="233">
        <f t="shared" si="28"/>
        <v>1000000</v>
      </c>
      <c r="M198" s="336">
        <f t="shared" si="32"/>
        <v>1050000</v>
      </c>
      <c r="N198" s="371">
        <f t="shared" si="33"/>
        <v>1100000</v>
      </c>
      <c r="O198" s="463">
        <f t="shared" si="34"/>
        <v>1320000</v>
      </c>
      <c r="P198" s="43"/>
      <c r="Q198" s="43"/>
      <c r="R198" s="24"/>
      <c r="S198" s="23">
        <f t="shared" si="29"/>
        <v>1000000</v>
      </c>
      <c r="T198" s="34"/>
      <c r="U198" s="22"/>
      <c r="V198" s="34" t="str">
        <f t="shared" si="30"/>
        <v>120874</v>
      </c>
      <c r="W198" s="34" t="str">
        <f t="shared" si="31"/>
        <v>220874</v>
      </c>
    </row>
    <row r="199" spans="1:23" s="2" customFormat="1" ht="21.75" customHeight="1" x14ac:dyDescent="0.2">
      <c r="A199" s="24">
        <v>15</v>
      </c>
      <c r="B199" s="39" t="s">
        <v>1</v>
      </c>
      <c r="C199" s="29" t="s">
        <v>261</v>
      </c>
      <c r="D199" s="31" t="s">
        <v>35</v>
      </c>
      <c r="E199" s="67" t="s">
        <v>34</v>
      </c>
      <c r="F199" s="27"/>
      <c r="G199" s="26"/>
      <c r="H199" s="26"/>
      <c r="I199" s="25">
        <v>800000</v>
      </c>
      <c r="J199" s="48">
        <f t="shared" si="26"/>
        <v>875000</v>
      </c>
      <c r="K199" s="25">
        <f t="shared" si="27"/>
        <v>925000</v>
      </c>
      <c r="L199" s="233">
        <f t="shared" si="28"/>
        <v>1000000</v>
      </c>
      <c r="M199" s="336">
        <f t="shared" si="32"/>
        <v>1050000</v>
      </c>
      <c r="N199" s="371">
        <f t="shared" si="33"/>
        <v>1100000</v>
      </c>
      <c r="O199" s="463">
        <f t="shared" si="34"/>
        <v>1320000</v>
      </c>
      <c r="P199" s="43"/>
      <c r="Q199" s="43"/>
      <c r="R199" s="24"/>
      <c r="S199" s="23">
        <f t="shared" si="29"/>
        <v>1000000</v>
      </c>
      <c r="T199" s="34"/>
      <c r="U199" s="22"/>
      <c r="V199" s="34" t="str">
        <f t="shared" si="30"/>
        <v>120875</v>
      </c>
      <c r="W199" s="34" t="str">
        <f t="shared" si="31"/>
        <v>220875</v>
      </c>
    </row>
    <row r="200" spans="1:23" s="2" customFormat="1" ht="21.75" customHeight="1" x14ac:dyDescent="0.2">
      <c r="A200" s="24">
        <v>16</v>
      </c>
      <c r="B200" s="39" t="s">
        <v>1</v>
      </c>
      <c r="C200" s="29" t="s">
        <v>261</v>
      </c>
      <c r="D200" s="31" t="s">
        <v>33</v>
      </c>
      <c r="E200" s="49" t="s">
        <v>32</v>
      </c>
      <c r="F200" s="27"/>
      <c r="G200" s="26"/>
      <c r="H200" s="26"/>
      <c r="I200" s="25">
        <v>800000</v>
      </c>
      <c r="J200" s="48">
        <f t="shared" si="26"/>
        <v>875000</v>
      </c>
      <c r="K200" s="25">
        <f t="shared" si="27"/>
        <v>925000</v>
      </c>
      <c r="L200" s="233">
        <f t="shared" si="28"/>
        <v>1000000</v>
      </c>
      <c r="M200" s="336">
        <f t="shared" si="32"/>
        <v>1050000</v>
      </c>
      <c r="N200" s="371">
        <f t="shared" si="33"/>
        <v>1100000</v>
      </c>
      <c r="O200" s="463">
        <f t="shared" si="34"/>
        <v>1320000</v>
      </c>
      <c r="P200" s="43"/>
      <c r="Q200" s="43"/>
      <c r="R200" s="24"/>
      <c r="S200" s="23">
        <f t="shared" si="29"/>
        <v>1000000</v>
      </c>
      <c r="T200" s="34"/>
      <c r="U200" s="22"/>
      <c r="V200" s="34" t="str">
        <f t="shared" si="30"/>
        <v>120876</v>
      </c>
      <c r="W200" s="34" t="str">
        <f t="shared" si="31"/>
        <v>220876</v>
      </c>
    </row>
    <row r="201" spans="1:23" s="2" customFormat="1" ht="21.75" customHeight="1" x14ac:dyDescent="0.2">
      <c r="A201" s="24">
        <v>17</v>
      </c>
      <c r="B201" s="39" t="s">
        <v>1</v>
      </c>
      <c r="C201" s="29" t="s">
        <v>261</v>
      </c>
      <c r="D201" s="31" t="s">
        <v>31</v>
      </c>
      <c r="E201" s="49" t="s">
        <v>30</v>
      </c>
      <c r="F201" s="27"/>
      <c r="G201" s="26"/>
      <c r="H201" s="26"/>
      <c r="I201" s="25">
        <v>700000</v>
      </c>
      <c r="J201" s="48">
        <f t="shared" si="26"/>
        <v>775000</v>
      </c>
      <c r="K201" s="25">
        <f t="shared" si="27"/>
        <v>825000</v>
      </c>
      <c r="L201" s="233">
        <f t="shared" si="28"/>
        <v>900000</v>
      </c>
      <c r="M201" s="336">
        <f t="shared" si="32"/>
        <v>950000</v>
      </c>
      <c r="N201" s="371">
        <f t="shared" si="33"/>
        <v>1000000</v>
      </c>
      <c r="O201" s="463">
        <f t="shared" si="34"/>
        <v>1200000</v>
      </c>
      <c r="P201" s="43"/>
      <c r="Q201" s="43"/>
      <c r="R201" s="24"/>
      <c r="S201" s="23">
        <f t="shared" si="29"/>
        <v>900000</v>
      </c>
      <c r="T201" s="34"/>
      <c r="U201" s="22"/>
      <c r="V201" s="34" t="str">
        <f t="shared" si="30"/>
        <v>120877</v>
      </c>
      <c r="W201" s="34" t="str">
        <f t="shared" si="31"/>
        <v>220877</v>
      </c>
    </row>
    <row r="202" spans="1:23" s="2" customFormat="1" ht="21.75" customHeight="1" x14ac:dyDescent="0.2">
      <c r="A202" s="24">
        <v>18</v>
      </c>
      <c r="B202" s="39" t="s">
        <v>1</v>
      </c>
      <c r="C202" s="29" t="s">
        <v>261</v>
      </c>
      <c r="D202" s="31" t="s">
        <v>29</v>
      </c>
      <c r="E202" s="66" t="s">
        <v>28</v>
      </c>
      <c r="F202" s="27"/>
      <c r="G202" s="26"/>
      <c r="H202" s="26"/>
      <c r="I202" s="35">
        <v>800000</v>
      </c>
      <c r="J202" s="48">
        <f t="shared" si="26"/>
        <v>875000</v>
      </c>
      <c r="K202" s="25">
        <f t="shared" si="27"/>
        <v>925000</v>
      </c>
      <c r="L202" s="233">
        <f t="shared" si="28"/>
        <v>1000000</v>
      </c>
      <c r="M202" s="336">
        <f t="shared" si="32"/>
        <v>1050000</v>
      </c>
      <c r="N202" s="371">
        <f t="shared" si="33"/>
        <v>1100000</v>
      </c>
      <c r="O202" s="463">
        <f t="shared" si="34"/>
        <v>1320000</v>
      </c>
      <c r="P202" s="43"/>
      <c r="Q202" s="43"/>
      <c r="R202" s="24"/>
      <c r="S202" s="23">
        <f t="shared" si="29"/>
        <v>1000000</v>
      </c>
      <c r="T202" s="34"/>
      <c r="U202" s="22"/>
      <c r="V202" s="34" t="str">
        <f t="shared" si="30"/>
        <v>120878</v>
      </c>
      <c r="W202" s="34" t="str">
        <f t="shared" si="31"/>
        <v>220878</v>
      </c>
    </row>
    <row r="203" spans="1:23" s="2" customFormat="1" ht="21.75" customHeight="1" x14ac:dyDescent="0.2">
      <c r="A203" s="24">
        <v>19</v>
      </c>
      <c r="B203" s="39" t="s">
        <v>1</v>
      </c>
      <c r="C203" s="29" t="s">
        <v>261</v>
      </c>
      <c r="D203" s="31" t="s">
        <v>27</v>
      </c>
      <c r="E203" s="49" t="s">
        <v>26</v>
      </c>
      <c r="F203" s="27"/>
      <c r="G203" s="26"/>
      <c r="H203" s="26"/>
      <c r="I203" s="35">
        <v>800000</v>
      </c>
      <c r="J203" s="48">
        <f t="shared" si="26"/>
        <v>875000</v>
      </c>
      <c r="K203" s="25">
        <f t="shared" si="27"/>
        <v>925000</v>
      </c>
      <c r="L203" s="233">
        <f t="shared" si="28"/>
        <v>1000000</v>
      </c>
      <c r="M203" s="336">
        <f t="shared" si="32"/>
        <v>1050000</v>
      </c>
      <c r="N203" s="371">
        <f t="shared" si="33"/>
        <v>1100000</v>
      </c>
      <c r="O203" s="463">
        <f t="shared" si="34"/>
        <v>1320000</v>
      </c>
      <c r="P203" s="43"/>
      <c r="Q203" s="43"/>
      <c r="R203" s="24"/>
      <c r="S203" s="23">
        <f t="shared" si="29"/>
        <v>1000000</v>
      </c>
      <c r="T203" s="34"/>
      <c r="U203" s="22"/>
      <c r="V203" s="34" t="str">
        <f t="shared" si="30"/>
        <v>120879</v>
      </c>
      <c r="W203" s="34" t="str">
        <f t="shared" si="31"/>
        <v>220879</v>
      </c>
    </row>
    <row r="204" spans="1:23" s="2" customFormat="1" ht="21.75" customHeight="1" x14ac:dyDescent="0.2">
      <c r="A204" s="24">
        <v>20</v>
      </c>
      <c r="B204" s="39" t="s">
        <v>1</v>
      </c>
      <c r="C204" s="29" t="s">
        <v>261</v>
      </c>
      <c r="D204" s="31" t="s">
        <v>25</v>
      </c>
      <c r="E204" s="49" t="s">
        <v>24</v>
      </c>
      <c r="F204" s="27"/>
      <c r="G204" s="26"/>
      <c r="H204" s="26"/>
      <c r="I204" s="35">
        <v>800000</v>
      </c>
      <c r="J204" s="48">
        <f t="shared" si="26"/>
        <v>875000</v>
      </c>
      <c r="K204" s="25">
        <f t="shared" si="27"/>
        <v>925000</v>
      </c>
      <c r="L204" s="233">
        <f t="shared" si="28"/>
        <v>1000000</v>
      </c>
      <c r="M204" s="336">
        <f t="shared" si="32"/>
        <v>1050000</v>
      </c>
      <c r="N204" s="371">
        <f t="shared" si="33"/>
        <v>1100000</v>
      </c>
      <c r="O204" s="463">
        <f t="shared" si="34"/>
        <v>1320000</v>
      </c>
      <c r="P204" s="43"/>
      <c r="Q204" s="43"/>
      <c r="R204" s="24"/>
      <c r="S204" s="23">
        <f t="shared" si="29"/>
        <v>1000000</v>
      </c>
      <c r="T204" s="34"/>
      <c r="U204" s="22"/>
      <c r="V204" s="34" t="str">
        <f t="shared" si="30"/>
        <v>120880</v>
      </c>
      <c r="W204" s="34" t="str">
        <f t="shared" si="31"/>
        <v>220880</v>
      </c>
    </row>
    <row r="205" spans="1:23" s="2" customFormat="1" ht="21.75" customHeight="1" x14ac:dyDescent="0.2">
      <c r="A205" s="24">
        <v>21</v>
      </c>
      <c r="B205" s="39" t="s">
        <v>1</v>
      </c>
      <c r="C205" s="29" t="s">
        <v>261</v>
      </c>
      <c r="D205" s="31" t="s">
        <v>23</v>
      </c>
      <c r="E205" s="49" t="s">
        <v>22</v>
      </c>
      <c r="F205" s="27"/>
      <c r="G205" s="26"/>
      <c r="H205" s="26"/>
      <c r="I205" s="35">
        <v>800000</v>
      </c>
      <c r="J205" s="48">
        <f t="shared" si="26"/>
        <v>875000</v>
      </c>
      <c r="K205" s="25">
        <f t="shared" si="27"/>
        <v>925000</v>
      </c>
      <c r="L205" s="233">
        <f t="shared" si="28"/>
        <v>1000000</v>
      </c>
      <c r="M205" s="336">
        <f t="shared" si="32"/>
        <v>1050000</v>
      </c>
      <c r="N205" s="371">
        <f t="shared" si="33"/>
        <v>1100000</v>
      </c>
      <c r="O205" s="463">
        <f t="shared" si="34"/>
        <v>1320000</v>
      </c>
      <c r="P205" s="43"/>
      <c r="Q205" s="43"/>
      <c r="R205" s="24"/>
      <c r="S205" s="23">
        <f t="shared" si="29"/>
        <v>1000000</v>
      </c>
      <c r="T205" s="34"/>
      <c r="U205" s="22"/>
      <c r="V205" s="34" t="str">
        <f t="shared" si="30"/>
        <v>120881</v>
      </c>
      <c r="W205" s="34" t="str">
        <f t="shared" si="31"/>
        <v>220881</v>
      </c>
    </row>
    <row r="206" spans="1:23" s="405" customFormat="1" ht="21.75" customHeight="1" x14ac:dyDescent="0.2">
      <c r="A206" s="392">
        <v>22</v>
      </c>
      <c r="B206" s="354" t="s">
        <v>1</v>
      </c>
      <c r="C206" s="355" t="s">
        <v>261</v>
      </c>
      <c r="D206" s="393" t="s">
        <v>21</v>
      </c>
      <c r="E206" s="394" t="s">
        <v>20</v>
      </c>
      <c r="F206" s="395"/>
      <c r="G206" s="396"/>
      <c r="H206" s="396"/>
      <c r="I206" s="397">
        <v>240000</v>
      </c>
      <c r="J206" s="398">
        <v>240000</v>
      </c>
      <c r="K206" s="399">
        <f t="shared" si="27"/>
        <v>290000</v>
      </c>
      <c r="L206" s="356">
        <f t="shared" si="28"/>
        <v>365000</v>
      </c>
      <c r="M206" s="400">
        <v>315000</v>
      </c>
      <c r="N206" s="400">
        <v>900000</v>
      </c>
      <c r="O206" s="596">
        <f t="shared" si="34"/>
        <v>1080000</v>
      </c>
      <c r="P206" s="401"/>
      <c r="Q206" s="401"/>
      <c r="R206" s="402"/>
      <c r="S206" s="403">
        <f t="shared" si="29"/>
        <v>365000</v>
      </c>
      <c r="T206" s="357"/>
      <c r="U206" s="404"/>
      <c r="V206" s="357" t="str">
        <f t="shared" si="30"/>
        <v>120882</v>
      </c>
      <c r="W206" s="357" t="str">
        <f t="shared" si="31"/>
        <v>220882</v>
      </c>
    </row>
    <row r="207" spans="1:23" s="51" customFormat="1" ht="21.75" customHeight="1" x14ac:dyDescent="0.2">
      <c r="A207" s="63">
        <v>23</v>
      </c>
      <c r="B207" s="62" t="s">
        <v>1</v>
      </c>
      <c r="C207" s="390" t="s">
        <v>261</v>
      </c>
      <c r="D207" s="65" t="s">
        <v>19</v>
      </c>
      <c r="E207" s="60" t="s">
        <v>18</v>
      </c>
      <c r="F207" s="59"/>
      <c r="G207" s="58"/>
      <c r="H207" s="58"/>
      <c r="I207" s="57">
        <v>240000</v>
      </c>
      <c r="J207" s="64">
        <v>240000</v>
      </c>
      <c r="K207" s="278">
        <f t="shared" si="27"/>
        <v>290000</v>
      </c>
      <c r="L207" s="55">
        <f t="shared" si="28"/>
        <v>365000</v>
      </c>
      <c r="M207" s="389">
        <v>315000</v>
      </c>
      <c r="N207" s="389">
        <v>315000</v>
      </c>
      <c r="O207" s="389">
        <v>315000</v>
      </c>
      <c r="P207" s="391"/>
      <c r="Q207" s="391"/>
      <c r="R207" s="63"/>
      <c r="S207" s="184">
        <f t="shared" si="29"/>
        <v>365000</v>
      </c>
      <c r="T207" s="52"/>
      <c r="U207" s="53"/>
      <c r="V207" s="52" t="str">
        <f t="shared" si="30"/>
        <v>120884</v>
      </c>
      <c r="W207" s="52" t="str">
        <f t="shared" si="31"/>
        <v>220884</v>
      </c>
    </row>
    <row r="208" spans="1:23" s="51" customFormat="1" ht="21.75" customHeight="1" x14ac:dyDescent="0.2">
      <c r="A208" s="63">
        <v>24</v>
      </c>
      <c r="B208" s="62" t="s">
        <v>1</v>
      </c>
      <c r="C208" s="390" t="s">
        <v>261</v>
      </c>
      <c r="D208" s="61" t="s">
        <v>17</v>
      </c>
      <c r="E208" s="60" t="s">
        <v>16</v>
      </c>
      <c r="F208" s="59"/>
      <c r="G208" s="58"/>
      <c r="H208" s="58"/>
      <c r="I208" s="57">
        <v>240000</v>
      </c>
      <c r="J208" s="56">
        <v>240000</v>
      </c>
      <c r="K208" s="278">
        <f t="shared" si="27"/>
        <v>290000</v>
      </c>
      <c r="L208" s="55">
        <f t="shared" si="28"/>
        <v>365000</v>
      </c>
      <c r="M208" s="389">
        <v>315000</v>
      </c>
      <c r="N208" s="389">
        <v>315000</v>
      </c>
      <c r="O208" s="389">
        <v>315000</v>
      </c>
      <c r="P208" s="391"/>
      <c r="Q208" s="391"/>
      <c r="R208" s="54"/>
      <c r="S208" s="184">
        <f t="shared" si="29"/>
        <v>365000</v>
      </c>
      <c r="T208" s="52"/>
      <c r="U208" s="53"/>
      <c r="V208" s="52" t="str">
        <f t="shared" si="30"/>
        <v>120890</v>
      </c>
      <c r="W208" s="52" t="str">
        <f t="shared" si="31"/>
        <v>220890</v>
      </c>
    </row>
    <row r="209" spans="1:23" s="2" customFormat="1" ht="21.75" customHeight="1" x14ac:dyDescent="0.2">
      <c r="A209" s="24">
        <v>25</v>
      </c>
      <c r="B209" s="39" t="s">
        <v>1</v>
      </c>
      <c r="C209" s="29" t="s">
        <v>261</v>
      </c>
      <c r="D209" s="28" t="s">
        <v>15</v>
      </c>
      <c r="E209" s="49" t="s">
        <v>14</v>
      </c>
      <c r="F209" s="27"/>
      <c r="G209" s="26"/>
      <c r="H209" s="26"/>
      <c r="I209" s="35">
        <v>700000</v>
      </c>
      <c r="J209" s="48">
        <f>SUM(I209+75000)</f>
        <v>775000</v>
      </c>
      <c r="K209" s="25">
        <f t="shared" si="27"/>
        <v>825000</v>
      </c>
      <c r="L209" s="233">
        <f t="shared" si="28"/>
        <v>900000</v>
      </c>
      <c r="M209" s="336">
        <f t="shared" si="32"/>
        <v>950000</v>
      </c>
      <c r="N209" s="371">
        <f t="shared" si="33"/>
        <v>1000000</v>
      </c>
      <c r="O209" s="463">
        <f t="shared" si="34"/>
        <v>1200000</v>
      </c>
      <c r="P209" s="43"/>
      <c r="Q209" s="43"/>
      <c r="R209" s="50"/>
      <c r="S209" s="23">
        <f t="shared" si="29"/>
        <v>900000</v>
      </c>
      <c r="T209" s="34"/>
      <c r="U209" s="22"/>
      <c r="V209" s="34" t="str">
        <f t="shared" si="30"/>
        <v>120891</v>
      </c>
      <c r="W209" s="34" t="str">
        <f t="shared" si="31"/>
        <v>220891</v>
      </c>
    </row>
    <row r="210" spans="1:23" s="2" customFormat="1" ht="21.75" customHeight="1" x14ac:dyDescent="0.2">
      <c r="A210" s="24">
        <v>26</v>
      </c>
      <c r="B210" s="30" t="s">
        <v>1</v>
      </c>
      <c r="C210" s="29" t="s">
        <v>261</v>
      </c>
      <c r="D210" s="28" t="s">
        <v>13</v>
      </c>
      <c r="E210" s="49" t="s">
        <v>12</v>
      </c>
      <c r="F210" s="27"/>
      <c r="G210" s="26"/>
      <c r="H210" s="26"/>
      <c r="I210" s="35">
        <v>700000</v>
      </c>
      <c r="J210" s="48">
        <f>SUM(I210+75000)</f>
        <v>775000</v>
      </c>
      <c r="K210" s="25">
        <f t="shared" si="27"/>
        <v>825000</v>
      </c>
      <c r="L210" s="233">
        <f t="shared" si="28"/>
        <v>900000</v>
      </c>
      <c r="M210" s="336">
        <f t="shared" si="32"/>
        <v>950000</v>
      </c>
      <c r="N210" s="371">
        <f t="shared" si="33"/>
        <v>1000000</v>
      </c>
      <c r="O210" s="463">
        <f t="shared" si="34"/>
        <v>1200000</v>
      </c>
      <c r="P210" s="43"/>
      <c r="Q210" s="43"/>
      <c r="R210" s="50"/>
      <c r="S210" s="23">
        <f t="shared" si="29"/>
        <v>900000</v>
      </c>
      <c r="T210" s="34"/>
      <c r="U210" s="22"/>
      <c r="V210" s="34" t="str">
        <f t="shared" si="30"/>
        <v>120892</v>
      </c>
      <c r="W210" s="34" t="str">
        <f t="shared" si="31"/>
        <v>220892</v>
      </c>
    </row>
    <row r="211" spans="1:23" s="2" customFormat="1" ht="21.75" customHeight="1" x14ac:dyDescent="0.2">
      <c r="A211" s="24">
        <v>27</v>
      </c>
      <c r="B211" s="39" t="s">
        <v>1</v>
      </c>
      <c r="C211" s="29" t="s">
        <v>261</v>
      </c>
      <c r="D211" s="28" t="s">
        <v>11</v>
      </c>
      <c r="E211" s="49" t="s">
        <v>10</v>
      </c>
      <c r="F211" s="27"/>
      <c r="G211" s="26"/>
      <c r="H211" s="26"/>
      <c r="I211" s="35">
        <v>400000</v>
      </c>
      <c r="J211" s="48">
        <f>SUM(I211+75000)</f>
        <v>475000</v>
      </c>
      <c r="K211" s="25">
        <f t="shared" si="27"/>
        <v>525000</v>
      </c>
      <c r="L211" s="233">
        <f t="shared" si="28"/>
        <v>600000</v>
      </c>
      <c r="M211" s="336">
        <f t="shared" si="32"/>
        <v>650000</v>
      </c>
      <c r="N211" s="371">
        <f t="shared" si="33"/>
        <v>700000</v>
      </c>
      <c r="O211" s="463">
        <f t="shared" si="34"/>
        <v>840000</v>
      </c>
      <c r="P211" s="43"/>
      <c r="Q211" s="43"/>
      <c r="R211" s="24"/>
      <c r="S211" s="23">
        <f t="shared" si="29"/>
        <v>600000</v>
      </c>
      <c r="T211" s="34"/>
      <c r="U211" s="22"/>
      <c r="V211" s="34" t="str">
        <f t="shared" si="30"/>
        <v>120893</v>
      </c>
      <c r="W211" s="34" t="str">
        <f t="shared" si="31"/>
        <v>220893</v>
      </c>
    </row>
    <row r="212" spans="1:23" s="2" customFormat="1" ht="21.75" customHeight="1" x14ac:dyDescent="0.2">
      <c r="A212" s="24">
        <v>28</v>
      </c>
      <c r="B212" s="39" t="s">
        <v>1</v>
      </c>
      <c r="C212" s="29" t="s">
        <v>261</v>
      </c>
      <c r="D212" s="28" t="s">
        <v>9</v>
      </c>
      <c r="E212" s="33" t="s">
        <v>8</v>
      </c>
      <c r="F212" s="27"/>
      <c r="G212" s="26"/>
      <c r="H212" s="26"/>
      <c r="I212" s="46"/>
      <c r="J212" s="47">
        <v>500000</v>
      </c>
      <c r="K212" s="25">
        <f t="shared" si="27"/>
        <v>550000</v>
      </c>
      <c r="L212" s="233">
        <f t="shared" si="28"/>
        <v>625000</v>
      </c>
      <c r="M212" s="336">
        <f t="shared" si="32"/>
        <v>675000</v>
      </c>
      <c r="N212" s="371">
        <f t="shared" si="33"/>
        <v>725000</v>
      </c>
      <c r="O212" s="463">
        <f t="shared" si="34"/>
        <v>870000</v>
      </c>
      <c r="P212" s="43"/>
      <c r="Q212" s="43"/>
      <c r="R212" s="24"/>
      <c r="S212" s="23">
        <f t="shared" si="29"/>
        <v>625000</v>
      </c>
      <c r="T212" s="34"/>
      <c r="U212" s="22"/>
      <c r="V212" s="34" t="str">
        <f t="shared" si="30"/>
        <v>120929</v>
      </c>
      <c r="W212" s="34" t="str">
        <f t="shared" si="31"/>
        <v>220929</v>
      </c>
    </row>
    <row r="213" spans="1:23" s="2" customFormat="1" ht="21.75" customHeight="1" x14ac:dyDescent="0.2">
      <c r="A213" s="24">
        <v>29</v>
      </c>
      <c r="B213" s="39" t="s">
        <v>1</v>
      </c>
      <c r="C213" s="29" t="s">
        <v>261</v>
      </c>
      <c r="D213" s="28" t="s">
        <v>7</v>
      </c>
      <c r="E213" s="33" t="s">
        <v>6</v>
      </c>
      <c r="F213" s="27"/>
      <c r="G213" s="26"/>
      <c r="H213" s="26"/>
      <c r="I213" s="46"/>
      <c r="J213" s="47"/>
      <c r="K213" s="25">
        <v>925000</v>
      </c>
      <c r="L213" s="233">
        <f t="shared" si="28"/>
        <v>1000000</v>
      </c>
      <c r="M213" s="336">
        <f t="shared" si="32"/>
        <v>1050000</v>
      </c>
      <c r="N213" s="371">
        <f t="shared" si="33"/>
        <v>1100000</v>
      </c>
      <c r="O213" s="463">
        <f t="shared" si="34"/>
        <v>1320000</v>
      </c>
      <c r="P213" s="43"/>
      <c r="Q213" s="43"/>
      <c r="R213" s="24"/>
      <c r="S213" s="23">
        <f t="shared" si="29"/>
        <v>1000000</v>
      </c>
      <c r="T213" s="34"/>
      <c r="U213" s="22"/>
      <c r="V213" s="34" t="str">
        <f t="shared" si="30"/>
        <v>121014</v>
      </c>
      <c r="W213" s="34" t="str">
        <f t="shared" si="31"/>
        <v>221014</v>
      </c>
    </row>
    <row r="214" spans="1:23" s="2" customFormat="1" ht="21.75" customHeight="1" x14ac:dyDescent="0.2">
      <c r="A214" s="24">
        <v>30</v>
      </c>
      <c r="B214" s="39" t="s">
        <v>1</v>
      </c>
      <c r="C214" s="29" t="s">
        <v>261</v>
      </c>
      <c r="D214" s="28" t="s">
        <v>4</v>
      </c>
      <c r="E214" s="33" t="s">
        <v>3</v>
      </c>
      <c r="F214" s="27"/>
      <c r="G214" s="26"/>
      <c r="H214" s="26"/>
      <c r="I214" s="46"/>
      <c r="J214" s="47"/>
      <c r="K214" s="25"/>
      <c r="L214" s="233">
        <v>925000</v>
      </c>
      <c r="M214" s="336">
        <f t="shared" si="32"/>
        <v>975000</v>
      </c>
      <c r="N214" s="371">
        <f t="shared" si="33"/>
        <v>1025000</v>
      </c>
      <c r="O214" s="463">
        <f t="shared" si="34"/>
        <v>1230000</v>
      </c>
      <c r="P214" s="43"/>
      <c r="Q214" s="43"/>
      <c r="R214" s="24"/>
      <c r="S214" s="23">
        <f t="shared" si="29"/>
        <v>925000</v>
      </c>
      <c r="T214" s="34"/>
      <c r="U214" s="22"/>
      <c r="V214" s="34" t="str">
        <f t="shared" si="30"/>
        <v>121018</v>
      </c>
      <c r="W214" s="34" t="str">
        <f t="shared" si="31"/>
        <v>221018</v>
      </c>
    </row>
    <row r="215" spans="1:23" s="2" customFormat="1" ht="21.75" customHeight="1" x14ac:dyDescent="0.2">
      <c r="A215" s="24"/>
      <c r="B215" s="39"/>
      <c r="C215" s="29"/>
      <c r="D215" s="28"/>
      <c r="E215" s="33"/>
      <c r="F215" s="27"/>
      <c r="G215" s="26"/>
      <c r="H215" s="26"/>
      <c r="I215" s="46"/>
      <c r="J215" s="45"/>
      <c r="K215" s="44"/>
      <c r="L215" s="295"/>
      <c r="M215" s="44"/>
      <c r="N215" s="330"/>
      <c r="O215" s="473"/>
      <c r="P215" s="43"/>
      <c r="Q215" s="43"/>
      <c r="R215" s="24"/>
      <c r="S215" s="23"/>
      <c r="T215" s="34"/>
      <c r="U215" s="22"/>
      <c r="V215" s="34"/>
      <c r="W215" s="34"/>
    </row>
    <row r="216" spans="1:23" s="11" customFormat="1" ht="21.75" customHeight="1" x14ac:dyDescent="0.2">
      <c r="A216" s="15"/>
      <c r="B216" s="21"/>
      <c r="C216" s="20"/>
      <c r="D216" s="19"/>
      <c r="E216" s="18"/>
      <c r="F216" s="17"/>
      <c r="G216" s="16"/>
      <c r="H216" s="16"/>
      <c r="I216" s="42">
        <f>SUM(I185:I212)</f>
        <v>18370000</v>
      </c>
      <c r="J216" s="41">
        <f>SUM(J185:J215)</f>
        <v>20670000</v>
      </c>
      <c r="K216" s="248">
        <f>SUM(K185:K213)</f>
        <v>22995000</v>
      </c>
      <c r="L216" s="246"/>
      <c r="M216" s="501">
        <f>SUM(M185:M214)</f>
        <v>27295000</v>
      </c>
      <c r="N216" s="331"/>
      <c r="O216" s="474"/>
      <c r="P216" s="40"/>
      <c r="Q216" s="40"/>
      <c r="R216" s="15"/>
      <c r="S216" s="14"/>
      <c r="T216" s="13"/>
      <c r="U216" s="12"/>
    </row>
  </sheetData>
  <mergeCells count="2">
    <mergeCell ref="P7:P9"/>
    <mergeCell ref="P2:P4"/>
  </mergeCells>
  <phoneticPr fontId="24" type="noConversion"/>
  <pageMargins left="0.23622047244094491" right="0.15748031496062992" top="0.47244094488188981" bottom="0.86614173228346458" header="0.11811023622047245" footer="0.15748031496062992"/>
  <pageSetup paperSize="9" scale="90" fitToHeight="2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90F5-2630-408A-BC1D-DBA5E6422ACA}">
  <sheetPr>
    <tabColor rgb="FF00B0F0"/>
  </sheetPr>
  <dimension ref="A1:W125"/>
  <sheetViews>
    <sheetView tabSelected="1" workbookViewId="0">
      <pane ySplit="1" topLeftCell="A13" activePane="bottomLeft" state="frozen"/>
      <selection pane="bottomLeft" activeCell="D48" sqref="D48"/>
    </sheetView>
  </sheetViews>
  <sheetFormatPr baseColWidth="10" defaultColWidth="8.83203125" defaultRowHeight="15" x14ac:dyDescent="0.2"/>
  <cols>
    <col min="1" max="1" width="4.6640625" style="179" customWidth="1"/>
    <col min="2" max="2" width="19.5" style="10" customWidth="1"/>
    <col min="3" max="3" width="8.6640625" style="10" customWidth="1"/>
    <col min="4" max="4" width="11.33203125" style="10" customWidth="1"/>
    <col min="5" max="5" width="43.5" style="2" customWidth="1"/>
    <col min="6" max="6" width="4.83203125" style="10" hidden="1" customWidth="1"/>
    <col min="7" max="7" width="0.33203125" style="178" hidden="1" customWidth="1"/>
    <col min="8" max="8" width="2.83203125" style="178" hidden="1" customWidth="1"/>
    <col min="9" max="10" width="0.6640625" style="177" customWidth="1"/>
    <col min="11" max="11" width="0.83203125" style="176" customWidth="1"/>
    <col min="12" max="12" width="16" style="256" hidden="1" customWidth="1"/>
    <col min="13" max="13" width="17.5" style="177" customWidth="1"/>
    <col min="14" max="14" width="17.5" style="588" customWidth="1"/>
    <col min="15" max="15" width="16.5" style="581" customWidth="1"/>
    <col min="16" max="16" width="17.33203125" style="4" customWidth="1"/>
    <col min="17" max="17" width="18.6640625" style="24" customWidth="1"/>
    <col min="18" max="18" width="18.6640625" style="10" customWidth="1"/>
    <col min="19" max="19" width="15.5" style="175" customWidth="1"/>
    <col min="20" max="20" width="14.6640625" style="2" customWidth="1"/>
    <col min="21" max="22" width="8.83203125" style="159"/>
    <col min="23" max="23" width="0" style="2" hidden="1" customWidth="1"/>
  </cols>
  <sheetData>
    <row r="1" spans="1:23" s="443" customFormat="1" ht="36" customHeight="1" thickBot="1" x14ac:dyDescent="0.25">
      <c r="A1" s="432" t="s">
        <v>253</v>
      </c>
      <c r="B1" s="433" t="s">
        <v>252</v>
      </c>
      <c r="C1" s="433" t="s">
        <v>251</v>
      </c>
      <c r="D1" s="434" t="s">
        <v>250</v>
      </c>
      <c r="E1" s="433" t="s">
        <v>249</v>
      </c>
      <c r="F1" s="435" t="s">
        <v>248</v>
      </c>
      <c r="G1" s="436" t="s">
        <v>247</v>
      </c>
      <c r="H1" s="436" t="s">
        <v>246</v>
      </c>
      <c r="I1" s="437" t="s">
        <v>245</v>
      </c>
      <c r="J1" s="437" t="s">
        <v>244</v>
      </c>
      <c r="K1" s="438" t="s">
        <v>243</v>
      </c>
      <c r="L1" s="439" t="s">
        <v>242</v>
      </c>
      <c r="M1" s="174" t="s">
        <v>400</v>
      </c>
      <c r="N1" s="440" t="s">
        <v>448</v>
      </c>
      <c r="O1" s="545" t="s">
        <v>491</v>
      </c>
      <c r="P1" s="174" t="s">
        <v>388</v>
      </c>
      <c r="Q1" s="456" t="s">
        <v>240</v>
      </c>
      <c r="R1" s="687" t="s">
        <v>239</v>
      </c>
      <c r="S1" s="441" t="s">
        <v>472</v>
      </c>
      <c r="T1" s="433" t="s">
        <v>237</v>
      </c>
      <c r="U1" s="442" t="s">
        <v>235</v>
      </c>
      <c r="V1" s="442" t="s">
        <v>234</v>
      </c>
      <c r="W1" s="433"/>
    </row>
    <row r="2" spans="1:23" s="38" customFormat="1" ht="20.25" customHeight="1" thickTop="1" x14ac:dyDescent="0.2">
      <c r="A2" s="162">
        <v>1</v>
      </c>
      <c r="B2" s="167" t="s">
        <v>255</v>
      </c>
      <c r="C2" s="167" t="s">
        <v>373</v>
      </c>
      <c r="D2" s="727">
        <v>40704</v>
      </c>
      <c r="E2" s="493" t="s">
        <v>296</v>
      </c>
      <c r="F2" s="205"/>
      <c r="G2" s="349"/>
      <c r="H2" s="349"/>
      <c r="I2" s="207"/>
      <c r="J2" s="207"/>
      <c r="K2" s="350"/>
      <c r="L2" s="351"/>
      <c r="M2" s="352"/>
      <c r="N2" s="582">
        <v>1250000</v>
      </c>
      <c r="O2" s="575"/>
      <c r="P2" s="207">
        <v>2500000</v>
      </c>
      <c r="Q2" s="207"/>
      <c r="R2" s="684"/>
      <c r="S2" s="180"/>
      <c r="T2" s="173"/>
      <c r="U2" s="353"/>
      <c r="V2" s="163"/>
      <c r="W2" s="34"/>
    </row>
    <row r="3" spans="1:23" s="38" customFormat="1" ht="20.25" customHeight="1" x14ac:dyDescent="0.2">
      <c r="A3" s="162">
        <v>2</v>
      </c>
      <c r="B3" s="167" t="s">
        <v>255</v>
      </c>
      <c r="C3" s="167" t="s">
        <v>373</v>
      </c>
      <c r="D3" s="727">
        <v>40705</v>
      </c>
      <c r="E3" s="493" t="s">
        <v>340</v>
      </c>
      <c r="F3" s="172"/>
      <c r="G3" s="197"/>
      <c r="H3" s="197"/>
      <c r="I3" s="82"/>
      <c r="J3" s="82"/>
      <c r="K3" s="200"/>
      <c r="L3" s="250"/>
      <c r="M3" s="346"/>
      <c r="N3" s="582">
        <v>1250000</v>
      </c>
      <c r="O3" s="576"/>
      <c r="P3" s="207">
        <v>2500000</v>
      </c>
      <c r="Q3" s="82"/>
      <c r="R3" s="684"/>
      <c r="S3" s="180"/>
      <c r="T3" s="173"/>
      <c r="U3" s="249"/>
      <c r="V3" s="163"/>
      <c r="W3" s="34"/>
    </row>
    <row r="4" spans="1:23" s="38" customFormat="1" ht="20.25" customHeight="1" x14ac:dyDescent="0.2">
      <c r="A4" s="162">
        <v>3</v>
      </c>
      <c r="B4" s="167" t="s">
        <v>255</v>
      </c>
      <c r="C4" s="167" t="s">
        <v>373</v>
      </c>
      <c r="D4" s="727">
        <v>40706</v>
      </c>
      <c r="E4" s="494" t="s">
        <v>298</v>
      </c>
      <c r="F4" s="172"/>
      <c r="G4" s="197"/>
      <c r="H4" s="197"/>
      <c r="I4" s="82"/>
      <c r="J4" s="82"/>
      <c r="K4" s="200"/>
      <c r="L4" s="250"/>
      <c r="M4" s="346"/>
      <c r="N4" s="582">
        <v>1250000</v>
      </c>
      <c r="O4" s="576"/>
      <c r="P4" s="207">
        <v>2500000</v>
      </c>
      <c r="Q4" s="82"/>
      <c r="R4" s="684"/>
      <c r="S4" s="180"/>
      <c r="T4" s="173"/>
      <c r="U4" s="249"/>
      <c r="V4" s="163"/>
      <c r="W4" s="34"/>
    </row>
    <row r="5" spans="1:23" s="38" customFormat="1" ht="20.25" customHeight="1" x14ac:dyDescent="0.2">
      <c r="A5" s="162">
        <v>4</v>
      </c>
      <c r="B5" s="167" t="s">
        <v>255</v>
      </c>
      <c r="C5" s="167" t="s">
        <v>373</v>
      </c>
      <c r="D5" s="727">
        <v>40707</v>
      </c>
      <c r="E5" s="493" t="s">
        <v>483</v>
      </c>
      <c r="F5" s="172"/>
      <c r="G5" s="197"/>
      <c r="H5" s="197"/>
      <c r="I5" s="82"/>
      <c r="J5" s="82"/>
      <c r="K5" s="200"/>
      <c r="L5" s="250"/>
      <c r="M5" s="346"/>
      <c r="N5" s="582">
        <v>1250000</v>
      </c>
      <c r="O5" s="576"/>
      <c r="P5" s="207">
        <v>2500000</v>
      </c>
      <c r="Q5" s="82"/>
      <c r="R5" s="684"/>
      <c r="S5" s="180"/>
      <c r="T5" s="173"/>
      <c r="U5" s="249"/>
      <c r="V5" s="163"/>
      <c r="W5" s="34"/>
    </row>
    <row r="6" spans="1:23" s="38" customFormat="1" ht="20.25" customHeight="1" x14ac:dyDescent="0.2">
      <c r="A6" s="162">
        <v>5</v>
      </c>
      <c r="B6" s="167" t="s">
        <v>255</v>
      </c>
      <c r="C6" s="167" t="s">
        <v>373</v>
      </c>
      <c r="D6" s="727">
        <v>40708</v>
      </c>
      <c r="E6" s="493" t="s">
        <v>484</v>
      </c>
      <c r="F6" s="172"/>
      <c r="G6" s="197"/>
      <c r="H6" s="197"/>
      <c r="I6" s="82"/>
      <c r="J6" s="82"/>
      <c r="K6" s="200"/>
      <c r="L6" s="250"/>
      <c r="M6" s="346"/>
      <c r="N6" s="582">
        <v>1250000</v>
      </c>
      <c r="O6" s="576"/>
      <c r="P6" s="207">
        <v>2500000</v>
      </c>
      <c r="Q6" s="82"/>
      <c r="R6" s="684"/>
      <c r="S6" s="180"/>
      <c r="T6" s="173"/>
      <c r="U6" s="249"/>
      <c r="V6" s="163"/>
      <c r="W6" s="34"/>
    </row>
    <row r="7" spans="1:23" s="38" customFormat="1" ht="20.25" customHeight="1" x14ac:dyDescent="0.2">
      <c r="A7" s="162">
        <v>6</v>
      </c>
      <c r="B7" s="167" t="s">
        <v>255</v>
      </c>
      <c r="C7" s="167" t="s">
        <v>373</v>
      </c>
      <c r="D7" s="727">
        <v>40709</v>
      </c>
      <c r="E7" s="493" t="s">
        <v>485</v>
      </c>
      <c r="F7" s="172"/>
      <c r="G7" s="197"/>
      <c r="H7" s="197"/>
      <c r="I7" s="82"/>
      <c r="J7" s="82"/>
      <c r="K7" s="200"/>
      <c r="L7" s="250"/>
      <c r="M7" s="346"/>
      <c r="N7" s="582">
        <v>1250000</v>
      </c>
      <c r="O7" s="576"/>
      <c r="P7" s="207">
        <v>2500000</v>
      </c>
      <c r="Q7" s="82"/>
      <c r="R7" s="684"/>
      <c r="S7" s="180"/>
      <c r="T7" s="173"/>
      <c r="U7" s="249"/>
      <c r="V7" s="163"/>
      <c r="W7" s="34"/>
    </row>
    <row r="8" spans="1:23" s="387" customFormat="1" ht="20.25" customHeight="1" x14ac:dyDescent="0.2">
      <c r="A8" s="491">
        <v>7</v>
      </c>
      <c r="B8" s="496" t="s">
        <v>255</v>
      </c>
      <c r="C8" s="496" t="s">
        <v>373</v>
      </c>
      <c r="D8" s="727">
        <v>40710</v>
      </c>
      <c r="E8" s="497" t="s">
        <v>486</v>
      </c>
      <c r="F8" s="476"/>
      <c r="G8" s="498"/>
      <c r="H8" s="498"/>
      <c r="I8" s="498"/>
      <c r="J8" s="498"/>
      <c r="K8" s="498"/>
      <c r="L8" s="498"/>
      <c r="M8" s="499"/>
      <c r="N8" s="583">
        <v>1000000</v>
      </c>
      <c r="O8" s="577"/>
      <c r="P8" s="492">
        <v>2500000</v>
      </c>
      <c r="Q8" s="498"/>
      <c r="R8" s="685"/>
      <c r="S8" s="388"/>
      <c r="T8" s="500"/>
      <c r="U8" s="480"/>
    </row>
    <row r="9" spans="1:23" s="38" customFormat="1" ht="20.25" customHeight="1" x14ac:dyDescent="0.2">
      <c r="A9" s="162">
        <v>8</v>
      </c>
      <c r="B9" s="167" t="s">
        <v>255</v>
      </c>
      <c r="C9" s="167" t="s">
        <v>373</v>
      </c>
      <c r="D9" s="727">
        <v>40711</v>
      </c>
      <c r="E9" s="495" t="s">
        <v>487</v>
      </c>
      <c r="F9" s="172"/>
      <c r="G9" s="197"/>
      <c r="H9" s="197"/>
      <c r="I9" s="82"/>
      <c r="J9" s="82"/>
      <c r="K9" s="200"/>
      <c r="L9" s="250"/>
      <c r="M9" s="346"/>
      <c r="N9" s="582">
        <v>1250000</v>
      </c>
      <c r="O9" s="576"/>
      <c r="P9" s="207">
        <v>2500000</v>
      </c>
      <c r="Q9" s="82"/>
      <c r="R9" s="684"/>
      <c r="S9" s="180"/>
      <c r="T9" s="173"/>
      <c r="U9" s="249"/>
      <c r="V9" s="163"/>
      <c r="W9" s="34"/>
    </row>
    <row r="10" spans="1:23" s="38" customFormat="1" ht="20.25" customHeight="1" x14ac:dyDescent="0.2">
      <c r="A10" s="162">
        <v>9</v>
      </c>
      <c r="B10" s="167" t="s">
        <v>255</v>
      </c>
      <c r="C10" s="167" t="s">
        <v>373</v>
      </c>
      <c r="D10" s="727">
        <v>40712</v>
      </c>
      <c r="E10" s="495" t="s">
        <v>488</v>
      </c>
      <c r="F10" s="172"/>
      <c r="G10" s="197"/>
      <c r="H10" s="197"/>
      <c r="I10" s="82"/>
      <c r="J10" s="82"/>
      <c r="K10" s="200"/>
      <c r="L10" s="250"/>
      <c r="M10" s="346"/>
      <c r="N10" s="582">
        <v>1250000</v>
      </c>
      <c r="O10" s="576"/>
      <c r="P10" s="207">
        <v>2500000</v>
      </c>
      <c r="Q10" s="82"/>
      <c r="R10" s="684"/>
      <c r="S10" s="180"/>
      <c r="T10" s="173"/>
      <c r="U10" s="249"/>
      <c r="V10" s="163"/>
      <c r="W10" s="34"/>
    </row>
    <row r="11" spans="1:23" s="387" customFormat="1" ht="20.25" customHeight="1" x14ac:dyDescent="0.2">
      <c r="A11" s="491">
        <v>10</v>
      </c>
      <c r="B11" s="496" t="s">
        <v>255</v>
      </c>
      <c r="C11" s="496" t="s">
        <v>373</v>
      </c>
      <c r="D11" s="727">
        <v>40713</v>
      </c>
      <c r="E11" s="628" t="s">
        <v>510</v>
      </c>
      <c r="F11" s="627"/>
      <c r="G11" s="498"/>
      <c r="H11" s="498"/>
      <c r="I11" s="498"/>
      <c r="J11" s="498"/>
      <c r="K11" s="498"/>
      <c r="L11" s="498"/>
      <c r="M11" s="499"/>
      <c r="N11" s="499">
        <v>875000</v>
      </c>
      <c r="O11" s="577"/>
      <c r="P11" s="492">
        <v>2500000</v>
      </c>
      <c r="Q11" s="498"/>
      <c r="R11" s="685"/>
      <c r="S11" s="388"/>
      <c r="T11" s="500"/>
      <c r="U11" s="480"/>
    </row>
    <row r="12" spans="1:23" s="38" customFormat="1" ht="20.25" customHeight="1" x14ac:dyDescent="0.2">
      <c r="A12" s="162"/>
      <c r="B12" s="167"/>
      <c r="C12" s="167"/>
      <c r="D12" s="305"/>
      <c r="E12" s="67"/>
      <c r="F12" s="172"/>
      <c r="G12" s="197"/>
      <c r="H12" s="197"/>
      <c r="I12" s="82"/>
      <c r="J12" s="82"/>
      <c r="K12" s="200"/>
      <c r="L12" s="250"/>
      <c r="M12" s="346"/>
      <c r="N12" s="262"/>
      <c r="O12" s="576"/>
      <c r="P12" s="82"/>
      <c r="Q12" s="82"/>
      <c r="R12" s="684"/>
      <c r="S12" s="180"/>
      <c r="T12" s="173"/>
      <c r="U12" s="249"/>
      <c r="V12" s="163"/>
      <c r="W12" s="34"/>
    </row>
    <row r="13" spans="1:23" s="38" customFormat="1" ht="20.25" customHeight="1" x14ac:dyDescent="0.2">
      <c r="A13" s="162"/>
      <c r="B13" s="167"/>
      <c r="C13" s="167"/>
      <c r="D13" s="305"/>
      <c r="E13" s="67"/>
      <c r="F13" s="172"/>
      <c r="G13" s="197"/>
      <c r="H13" s="197"/>
      <c r="I13" s="82"/>
      <c r="J13" s="82"/>
      <c r="K13" s="200"/>
      <c r="L13" s="250"/>
      <c r="M13" s="346"/>
      <c r="N13" s="262"/>
      <c r="O13" s="576"/>
      <c r="P13" s="82"/>
      <c r="Q13" s="82"/>
      <c r="R13" s="684"/>
      <c r="S13" s="180"/>
      <c r="T13" s="173"/>
      <c r="U13" s="249"/>
      <c r="V13" s="163"/>
      <c r="W13" s="34"/>
    </row>
    <row r="14" spans="1:23" s="38" customFormat="1" ht="20.25" customHeight="1" x14ac:dyDescent="0.2">
      <c r="A14" s="162"/>
      <c r="B14" s="167"/>
      <c r="C14" s="167"/>
      <c r="D14" s="305"/>
      <c r="E14" s="67"/>
      <c r="F14" s="172"/>
      <c r="G14" s="197"/>
      <c r="H14" s="197"/>
      <c r="I14" s="82"/>
      <c r="J14" s="82"/>
      <c r="K14" s="200"/>
      <c r="L14" s="250"/>
      <c r="M14" s="346"/>
      <c r="N14" s="262"/>
      <c r="O14" s="576"/>
      <c r="P14" s="82"/>
      <c r="Q14" s="82"/>
      <c r="R14" s="684"/>
      <c r="S14" s="180"/>
      <c r="T14" s="173"/>
      <c r="U14" s="249"/>
      <c r="V14" s="163"/>
      <c r="W14" s="34"/>
    </row>
    <row r="15" spans="1:23" s="38" customFormat="1" ht="20.25" customHeight="1" x14ac:dyDescent="0.2">
      <c r="A15" s="162"/>
      <c r="B15" s="167"/>
      <c r="C15" s="167"/>
      <c r="D15" s="305"/>
      <c r="E15" s="67"/>
      <c r="F15" s="172"/>
      <c r="G15" s="197"/>
      <c r="H15" s="197"/>
      <c r="I15" s="82"/>
      <c r="J15" s="82"/>
      <c r="K15" s="200"/>
      <c r="L15" s="250"/>
      <c r="M15" s="346"/>
      <c r="N15" s="262"/>
      <c r="O15" s="576"/>
      <c r="P15" s="82"/>
      <c r="Q15" s="82"/>
      <c r="R15" s="684"/>
      <c r="S15" s="180"/>
      <c r="T15" s="173"/>
      <c r="U15" s="249"/>
      <c r="V15" s="163"/>
      <c r="W15" s="34"/>
    </row>
    <row r="16" spans="1:23" s="38" customFormat="1" ht="20.25" customHeight="1" x14ac:dyDescent="0.2">
      <c r="A16" s="162"/>
      <c r="B16" s="167"/>
      <c r="C16" s="167"/>
      <c r="D16" s="305"/>
      <c r="E16" s="67"/>
      <c r="F16" s="172"/>
      <c r="G16" s="197"/>
      <c r="H16" s="197"/>
      <c r="I16" s="82"/>
      <c r="J16" s="82"/>
      <c r="K16" s="200"/>
      <c r="L16" s="250"/>
      <c r="M16" s="346"/>
      <c r="N16" s="262"/>
      <c r="O16" s="576"/>
      <c r="P16" s="82"/>
      <c r="Q16" s="82"/>
      <c r="R16" s="684"/>
      <c r="S16" s="180"/>
      <c r="T16" s="173"/>
      <c r="U16" s="249"/>
      <c r="V16" s="163"/>
      <c r="W16" s="34"/>
    </row>
    <row r="17" spans="1:23" s="38" customFormat="1" ht="20.25" customHeight="1" x14ac:dyDescent="0.2">
      <c r="A17" s="162"/>
      <c r="B17" s="167"/>
      <c r="C17" s="167"/>
      <c r="D17" s="305"/>
      <c r="E17" s="67"/>
      <c r="F17" s="172"/>
      <c r="G17" s="197"/>
      <c r="H17" s="197"/>
      <c r="I17" s="82"/>
      <c r="J17" s="82"/>
      <c r="K17" s="200"/>
      <c r="L17" s="250"/>
      <c r="M17" s="346"/>
      <c r="N17" s="262"/>
      <c r="O17" s="576"/>
      <c r="P17" s="82"/>
      <c r="Q17" s="82"/>
      <c r="R17" s="684"/>
      <c r="S17" s="180"/>
      <c r="T17" s="173"/>
      <c r="U17" s="249"/>
      <c r="V17" s="163"/>
      <c r="W17" s="34"/>
    </row>
    <row r="18" spans="1:23" s="38" customFormat="1" ht="20.25" customHeight="1" x14ac:dyDescent="0.2">
      <c r="A18" s="162"/>
      <c r="B18" s="167"/>
      <c r="C18" s="167"/>
      <c r="D18" s="305"/>
      <c r="E18" s="67"/>
      <c r="F18" s="172"/>
      <c r="G18" s="197"/>
      <c r="H18" s="197"/>
      <c r="I18" s="82"/>
      <c r="J18" s="82"/>
      <c r="K18" s="200"/>
      <c r="L18" s="250"/>
      <c r="M18" s="346"/>
      <c r="N18" s="262"/>
      <c r="O18" s="576"/>
      <c r="P18" s="82"/>
      <c r="Q18" s="82"/>
      <c r="R18" s="684"/>
      <c r="S18" s="180"/>
      <c r="T18" s="173"/>
      <c r="U18" s="249"/>
      <c r="V18" s="163"/>
      <c r="W18" s="34"/>
    </row>
    <row r="19" spans="1:23" s="13" customFormat="1" ht="20.25" customHeight="1" x14ac:dyDescent="0.2">
      <c r="A19" s="217"/>
      <c r="B19" s="216"/>
      <c r="C19" s="216"/>
      <c r="D19" s="343"/>
      <c r="E19" s="161"/>
      <c r="F19" s="168"/>
      <c r="G19" s="284"/>
      <c r="H19" s="284"/>
      <c r="I19" s="284"/>
      <c r="J19" s="284"/>
      <c r="K19" s="284"/>
      <c r="L19" s="284"/>
      <c r="M19" s="344"/>
      <c r="N19" s="344"/>
      <c r="O19" s="578"/>
      <c r="P19" s="284"/>
      <c r="Q19" s="284"/>
      <c r="R19" s="450"/>
      <c r="S19" s="14"/>
      <c r="T19" s="345"/>
      <c r="U19" s="70"/>
    </row>
    <row r="20" spans="1:23" s="38" customFormat="1" ht="20.25" customHeight="1" x14ac:dyDescent="0.2">
      <c r="A20" s="162">
        <v>1</v>
      </c>
      <c r="B20" s="167" t="s">
        <v>255</v>
      </c>
      <c r="C20" s="167" t="s">
        <v>371</v>
      </c>
      <c r="D20" s="305">
        <v>40689</v>
      </c>
      <c r="E20" s="67" t="s">
        <v>401</v>
      </c>
      <c r="F20" s="172"/>
      <c r="G20" s="197"/>
      <c r="H20" s="197"/>
      <c r="I20" s="82"/>
      <c r="J20" s="82"/>
      <c r="K20" s="200"/>
      <c r="L20" s="250"/>
      <c r="M20" s="430">
        <v>1000000</v>
      </c>
      <c r="N20" s="262">
        <f>SUM(M20+50000)</f>
        <v>1050000</v>
      </c>
      <c r="O20" s="576"/>
      <c r="P20" s="82"/>
      <c r="Q20" s="82"/>
      <c r="R20" s="684"/>
      <c r="S20" s="180"/>
      <c r="T20" s="173"/>
      <c r="U20" s="249"/>
      <c r="V20" s="163"/>
      <c r="W20" s="34"/>
    </row>
    <row r="21" spans="1:23" s="38" customFormat="1" ht="20.25" customHeight="1" x14ac:dyDescent="0.2">
      <c r="A21" s="162">
        <v>2</v>
      </c>
      <c r="B21" s="167" t="s">
        <v>255</v>
      </c>
      <c r="C21" s="167" t="s">
        <v>371</v>
      </c>
      <c r="D21" s="305">
        <v>40690</v>
      </c>
      <c r="E21" s="67" t="s">
        <v>258</v>
      </c>
      <c r="F21" s="172"/>
      <c r="G21" s="197"/>
      <c r="H21" s="197"/>
      <c r="I21" s="82"/>
      <c r="J21" s="82"/>
      <c r="K21" s="200"/>
      <c r="L21" s="250"/>
      <c r="M21" s="430">
        <v>1250000</v>
      </c>
      <c r="N21" s="262">
        <f t="shared" ref="N21:O34" si="0">SUM(M21+50000)</f>
        <v>1300000</v>
      </c>
      <c r="O21" s="576"/>
      <c r="P21" s="82"/>
      <c r="Q21" s="82"/>
      <c r="R21" s="684"/>
      <c r="S21" s="180"/>
      <c r="T21" s="173"/>
      <c r="U21" s="249"/>
      <c r="V21" s="163"/>
      <c r="W21" s="34"/>
    </row>
    <row r="22" spans="1:23" s="38" customFormat="1" ht="20.25" customHeight="1" x14ac:dyDescent="0.2">
      <c r="A22" s="162">
        <v>3</v>
      </c>
      <c r="B22" s="167" t="s">
        <v>255</v>
      </c>
      <c r="C22" s="167" t="s">
        <v>371</v>
      </c>
      <c r="D22" s="305">
        <v>40691</v>
      </c>
      <c r="E22" s="67" t="s">
        <v>443</v>
      </c>
      <c r="F22" s="172"/>
      <c r="G22" s="197"/>
      <c r="H22" s="197"/>
      <c r="I22" s="82"/>
      <c r="J22" s="82"/>
      <c r="K22" s="200"/>
      <c r="L22" s="250"/>
      <c r="M22" s="430">
        <v>1250000</v>
      </c>
      <c r="N22" s="262">
        <f t="shared" si="0"/>
        <v>1300000</v>
      </c>
      <c r="O22" s="576"/>
      <c r="P22" s="82"/>
      <c r="Q22" s="82"/>
      <c r="R22" s="684"/>
      <c r="S22" s="180"/>
      <c r="T22" s="173"/>
      <c r="U22" s="249"/>
      <c r="V22" s="163"/>
      <c r="W22" s="34"/>
    </row>
    <row r="23" spans="1:23" s="38" customFormat="1" ht="20.25" customHeight="1" x14ac:dyDescent="0.2">
      <c r="A23" s="162">
        <v>4</v>
      </c>
      <c r="B23" s="167" t="s">
        <v>255</v>
      </c>
      <c r="C23" s="167" t="s">
        <v>371</v>
      </c>
      <c r="D23" s="305">
        <v>40692</v>
      </c>
      <c r="E23" s="160" t="s">
        <v>402</v>
      </c>
      <c r="F23" s="172"/>
      <c r="G23" s="197"/>
      <c r="H23" s="197"/>
      <c r="I23" s="82"/>
      <c r="J23" s="82"/>
      <c r="K23" s="200"/>
      <c r="L23" s="250"/>
      <c r="M23" s="430">
        <v>1200000</v>
      </c>
      <c r="N23" s="262">
        <f t="shared" si="0"/>
        <v>1250000</v>
      </c>
      <c r="O23" s="576"/>
      <c r="P23" s="82"/>
      <c r="Q23" s="82"/>
      <c r="R23" s="684"/>
      <c r="S23" s="180"/>
      <c r="T23" s="173"/>
      <c r="U23" s="249"/>
      <c r="V23" s="163"/>
      <c r="W23" s="34"/>
    </row>
    <row r="24" spans="1:23" s="38" customFormat="1" ht="20.25" customHeight="1" x14ac:dyDescent="0.2">
      <c r="A24" s="162">
        <v>5</v>
      </c>
      <c r="B24" s="167" t="s">
        <v>255</v>
      </c>
      <c r="C24" s="167" t="s">
        <v>371</v>
      </c>
      <c r="D24" s="305">
        <v>40693</v>
      </c>
      <c r="E24" s="67" t="s">
        <v>259</v>
      </c>
      <c r="F24" s="172"/>
      <c r="G24" s="197"/>
      <c r="H24" s="197"/>
      <c r="I24" s="82"/>
      <c r="J24" s="82"/>
      <c r="K24" s="200"/>
      <c r="L24" s="250"/>
      <c r="M24" s="430">
        <v>1250000</v>
      </c>
      <c r="N24" s="262">
        <f t="shared" si="0"/>
        <v>1300000</v>
      </c>
      <c r="O24" s="576"/>
      <c r="P24" s="82"/>
      <c r="Q24" s="82"/>
      <c r="R24" s="684"/>
      <c r="S24" s="180"/>
      <c r="T24" s="173"/>
      <c r="U24" s="249"/>
      <c r="V24" s="163"/>
      <c r="W24" s="34"/>
    </row>
    <row r="25" spans="1:23" s="38" customFormat="1" ht="20.25" customHeight="1" x14ac:dyDescent="0.2">
      <c r="A25" s="162">
        <v>6</v>
      </c>
      <c r="B25" s="167" t="s">
        <v>255</v>
      </c>
      <c r="C25" s="167" t="s">
        <v>371</v>
      </c>
      <c r="D25" s="305">
        <v>40694</v>
      </c>
      <c r="E25" s="67" t="s">
        <v>403</v>
      </c>
      <c r="F25" s="172"/>
      <c r="G25" s="197"/>
      <c r="H25" s="197"/>
      <c r="I25" s="82"/>
      <c r="J25" s="82"/>
      <c r="K25" s="200"/>
      <c r="L25" s="250"/>
      <c r="M25" s="430">
        <v>750000</v>
      </c>
      <c r="N25" s="262">
        <f t="shared" si="0"/>
        <v>800000</v>
      </c>
      <c r="O25" s="576"/>
      <c r="P25" s="82"/>
      <c r="Q25" s="82"/>
      <c r="R25" s="684"/>
      <c r="S25" s="180"/>
      <c r="T25" s="173"/>
      <c r="U25" s="249"/>
      <c r="V25" s="163"/>
      <c r="W25" s="34"/>
    </row>
    <row r="26" spans="1:23" s="38" customFormat="1" ht="20.25" customHeight="1" x14ac:dyDescent="0.2">
      <c r="A26" s="162">
        <v>7</v>
      </c>
      <c r="B26" s="167" t="s">
        <v>255</v>
      </c>
      <c r="C26" s="167" t="s">
        <v>371</v>
      </c>
      <c r="D26" s="305">
        <v>40695</v>
      </c>
      <c r="E26" s="67" t="s">
        <v>435</v>
      </c>
      <c r="F26" s="172"/>
      <c r="G26" s="197"/>
      <c r="H26" s="197"/>
      <c r="I26" s="82"/>
      <c r="J26" s="82"/>
      <c r="K26" s="200"/>
      <c r="L26" s="250"/>
      <c r="M26" s="431">
        <v>500000</v>
      </c>
      <c r="N26" s="262">
        <f t="shared" si="0"/>
        <v>550000</v>
      </c>
      <c r="O26" s="363"/>
      <c r="P26" s="82"/>
      <c r="Q26" s="82"/>
      <c r="R26" s="684"/>
      <c r="S26" s="180"/>
      <c r="T26" s="173"/>
      <c r="U26" s="249"/>
      <c r="V26" s="163"/>
      <c r="W26" s="34"/>
    </row>
    <row r="27" spans="1:23" s="38" customFormat="1" ht="20.25" customHeight="1" x14ac:dyDescent="0.2">
      <c r="A27" s="162">
        <v>8</v>
      </c>
      <c r="B27" s="167" t="s">
        <v>255</v>
      </c>
      <c r="C27" s="167" t="s">
        <v>371</v>
      </c>
      <c r="D27" s="305">
        <v>40696</v>
      </c>
      <c r="E27" s="67" t="s">
        <v>436</v>
      </c>
      <c r="F27" s="172"/>
      <c r="G27" s="197"/>
      <c r="H27" s="197"/>
      <c r="I27" s="82"/>
      <c r="J27" s="82"/>
      <c r="K27" s="200"/>
      <c r="L27" s="250"/>
      <c r="M27" s="431">
        <v>750000</v>
      </c>
      <c r="N27" s="262">
        <f t="shared" si="0"/>
        <v>800000</v>
      </c>
      <c r="O27" s="363"/>
      <c r="P27" s="82"/>
      <c r="Q27" s="82"/>
      <c r="R27" s="684"/>
      <c r="S27" s="180"/>
      <c r="T27" s="173"/>
      <c r="U27" s="249"/>
      <c r="V27" s="163"/>
      <c r="W27" s="34"/>
    </row>
    <row r="28" spans="1:23" s="38" customFormat="1" ht="20.25" customHeight="1" x14ac:dyDescent="0.2">
      <c r="A28" s="162">
        <v>9</v>
      </c>
      <c r="B28" s="167" t="s">
        <v>255</v>
      </c>
      <c r="C28" s="167" t="s">
        <v>371</v>
      </c>
      <c r="D28" s="305">
        <v>40697</v>
      </c>
      <c r="E28" s="67" t="s">
        <v>437</v>
      </c>
      <c r="F28" s="172"/>
      <c r="G28" s="197"/>
      <c r="H28" s="197"/>
      <c r="I28" s="82"/>
      <c r="J28" s="82"/>
      <c r="K28" s="200"/>
      <c r="L28" s="250"/>
      <c r="M28" s="431">
        <v>750000</v>
      </c>
      <c r="N28" s="262">
        <f t="shared" si="0"/>
        <v>800000</v>
      </c>
      <c r="O28" s="363"/>
      <c r="P28" s="82"/>
      <c r="Q28" s="82"/>
      <c r="R28" s="684"/>
      <c r="S28" s="180"/>
      <c r="T28" s="173"/>
      <c r="U28" s="249"/>
      <c r="V28" s="163"/>
      <c r="W28" s="34"/>
    </row>
    <row r="29" spans="1:23" s="38" customFormat="1" ht="20.25" customHeight="1" x14ac:dyDescent="0.2">
      <c r="A29" s="162">
        <v>10</v>
      </c>
      <c r="B29" s="167" t="s">
        <v>255</v>
      </c>
      <c r="C29" s="167" t="s">
        <v>371</v>
      </c>
      <c r="D29" s="305">
        <v>40698</v>
      </c>
      <c r="E29" s="67" t="s">
        <v>438</v>
      </c>
      <c r="F29" s="172"/>
      <c r="G29" s="197"/>
      <c r="H29" s="197"/>
      <c r="I29" s="82"/>
      <c r="J29" s="82"/>
      <c r="K29" s="200"/>
      <c r="L29" s="250"/>
      <c r="M29" s="431">
        <v>500000</v>
      </c>
      <c r="N29" s="262">
        <f t="shared" si="0"/>
        <v>550000</v>
      </c>
      <c r="O29" s="363"/>
      <c r="P29" s="82"/>
      <c r="Q29" s="82"/>
      <c r="R29" s="684"/>
      <c r="S29" s="180"/>
      <c r="T29" s="173"/>
      <c r="U29" s="249"/>
      <c r="V29" s="163"/>
      <c r="W29" s="34"/>
    </row>
    <row r="30" spans="1:23" s="38" customFormat="1" ht="20.25" customHeight="1" x14ac:dyDescent="0.2">
      <c r="A30" s="162">
        <v>11</v>
      </c>
      <c r="B30" s="167" t="s">
        <v>255</v>
      </c>
      <c r="C30" s="167" t="s">
        <v>371</v>
      </c>
      <c r="D30" s="305">
        <v>40699</v>
      </c>
      <c r="E30" s="67" t="s">
        <v>439</v>
      </c>
      <c r="F30" s="172"/>
      <c r="G30" s="197"/>
      <c r="H30" s="197"/>
      <c r="I30" s="82"/>
      <c r="J30" s="82"/>
      <c r="K30" s="200"/>
      <c r="L30" s="250"/>
      <c r="M30" s="431">
        <v>750000</v>
      </c>
      <c r="N30" s="262">
        <f t="shared" si="0"/>
        <v>800000</v>
      </c>
      <c r="O30" s="363"/>
      <c r="P30" s="82"/>
      <c r="Q30" s="82"/>
      <c r="R30" s="684"/>
      <c r="S30" s="180"/>
      <c r="T30" s="173"/>
      <c r="U30" s="249"/>
      <c r="V30" s="163"/>
      <c r="W30" s="34"/>
    </row>
    <row r="31" spans="1:23" s="38" customFormat="1" ht="20.25" customHeight="1" x14ac:dyDescent="0.2">
      <c r="A31" s="162">
        <v>12</v>
      </c>
      <c r="B31" s="167" t="s">
        <v>255</v>
      </c>
      <c r="C31" s="167" t="s">
        <v>371</v>
      </c>
      <c r="D31" s="305">
        <v>40700</v>
      </c>
      <c r="E31" s="67" t="s">
        <v>440</v>
      </c>
      <c r="F31" s="172"/>
      <c r="G31" s="197"/>
      <c r="H31" s="197"/>
      <c r="I31" s="82"/>
      <c r="J31" s="82"/>
      <c r="K31" s="200"/>
      <c r="L31" s="250"/>
      <c r="M31" s="431">
        <v>1250000</v>
      </c>
      <c r="N31" s="262">
        <f t="shared" si="0"/>
        <v>1300000</v>
      </c>
      <c r="O31" s="363"/>
      <c r="P31" s="82"/>
      <c r="Q31" s="82"/>
      <c r="R31" s="684"/>
      <c r="S31" s="180"/>
      <c r="T31" s="173"/>
      <c r="U31" s="249"/>
      <c r="V31" s="163"/>
      <c r="W31" s="34"/>
    </row>
    <row r="32" spans="1:23" s="38" customFormat="1" ht="20.25" customHeight="1" x14ac:dyDescent="0.2">
      <c r="A32" s="162">
        <v>13</v>
      </c>
      <c r="B32" s="167" t="s">
        <v>255</v>
      </c>
      <c r="C32" s="167" t="s">
        <v>371</v>
      </c>
      <c r="D32" s="305">
        <v>40701</v>
      </c>
      <c r="E32" s="67" t="s">
        <v>441</v>
      </c>
      <c r="F32" s="172"/>
      <c r="G32" s="197"/>
      <c r="H32" s="197"/>
      <c r="I32" s="82"/>
      <c r="J32" s="82"/>
      <c r="K32" s="200"/>
      <c r="L32" s="250"/>
      <c r="M32" s="431">
        <v>1200000</v>
      </c>
      <c r="N32" s="262">
        <f t="shared" si="0"/>
        <v>1250000</v>
      </c>
      <c r="O32" s="363"/>
      <c r="P32" s="82"/>
      <c r="Q32" s="82"/>
      <c r="R32" s="684"/>
      <c r="S32" s="180"/>
      <c r="T32" s="173"/>
      <c r="U32" s="249"/>
      <c r="V32" s="163"/>
      <c r="W32" s="34"/>
    </row>
    <row r="33" spans="1:23" s="38" customFormat="1" ht="20.25" customHeight="1" x14ac:dyDescent="0.2">
      <c r="A33" s="162">
        <v>14</v>
      </c>
      <c r="B33" s="167" t="s">
        <v>255</v>
      </c>
      <c r="C33" s="167" t="s">
        <v>371</v>
      </c>
      <c r="D33" s="305">
        <v>40702</v>
      </c>
      <c r="E33" s="67" t="s">
        <v>442</v>
      </c>
      <c r="F33" s="172"/>
      <c r="G33" s="197"/>
      <c r="H33" s="197"/>
      <c r="I33" s="82"/>
      <c r="J33" s="82"/>
      <c r="K33" s="200"/>
      <c r="L33" s="250"/>
      <c r="M33" s="431">
        <v>500000</v>
      </c>
      <c r="N33" s="262">
        <f t="shared" si="0"/>
        <v>550000</v>
      </c>
      <c r="O33" s="363"/>
      <c r="P33" s="82"/>
      <c r="Q33" s="82"/>
      <c r="R33" s="684"/>
      <c r="S33" s="180"/>
      <c r="T33" s="173"/>
      <c r="U33" s="249"/>
      <c r="V33" s="163"/>
      <c r="W33" s="34"/>
    </row>
    <row r="34" spans="1:23" s="38" customFormat="1" ht="20.25" customHeight="1" x14ac:dyDescent="0.2">
      <c r="A34" s="162">
        <v>15</v>
      </c>
      <c r="B34" s="167" t="s">
        <v>255</v>
      </c>
      <c r="C34" s="167" t="s">
        <v>371</v>
      </c>
      <c r="D34" s="305">
        <v>40703</v>
      </c>
      <c r="E34" s="67" t="s">
        <v>444</v>
      </c>
      <c r="F34" s="172"/>
      <c r="G34" s="197"/>
      <c r="H34" s="197"/>
      <c r="I34" s="82"/>
      <c r="J34" s="82"/>
      <c r="K34" s="200"/>
      <c r="L34" s="250"/>
      <c r="M34" s="431">
        <v>750000</v>
      </c>
      <c r="N34" s="262">
        <f t="shared" si="0"/>
        <v>800000</v>
      </c>
      <c r="O34" s="363"/>
      <c r="P34" s="82"/>
      <c r="Q34" s="82"/>
      <c r="R34" s="684"/>
      <c r="S34" s="180"/>
      <c r="T34" s="173"/>
      <c r="U34" s="249"/>
      <c r="V34" s="163"/>
      <c r="W34" s="34"/>
    </row>
    <row r="35" spans="1:23" s="38" customFormat="1" ht="20.25" customHeight="1" x14ac:dyDescent="0.2">
      <c r="A35" s="169"/>
      <c r="B35" s="172"/>
      <c r="C35" s="172"/>
      <c r="D35" s="165"/>
      <c r="E35" s="172"/>
      <c r="F35" s="172"/>
      <c r="G35" s="197"/>
      <c r="H35" s="197"/>
      <c r="I35" s="82"/>
      <c r="J35" s="82"/>
      <c r="K35" s="200"/>
      <c r="L35" s="250"/>
      <c r="M35" s="82"/>
      <c r="N35" s="199"/>
      <c r="O35" s="363"/>
      <c r="P35" s="82"/>
      <c r="Q35" s="173"/>
      <c r="R35" s="34"/>
      <c r="S35" s="180"/>
      <c r="T35" s="173"/>
      <c r="U35" s="249"/>
      <c r="V35" s="163"/>
      <c r="W35" s="34"/>
    </row>
    <row r="36" spans="1:23" s="38" customFormat="1" ht="20.25" customHeight="1" x14ac:dyDescent="0.2">
      <c r="A36" s="169"/>
      <c r="B36" s="172"/>
      <c r="C36" s="172"/>
      <c r="D36" s="165"/>
      <c r="E36" s="172"/>
      <c r="F36" s="172"/>
      <c r="G36" s="197"/>
      <c r="H36" s="197"/>
      <c r="I36" s="82"/>
      <c r="J36" s="82"/>
      <c r="K36" s="200"/>
      <c r="L36" s="250"/>
      <c r="M36" s="82"/>
      <c r="N36" s="199"/>
      <c r="O36" s="363"/>
      <c r="P36" s="82"/>
      <c r="Q36" s="173"/>
      <c r="R36" s="34"/>
      <c r="S36" s="180"/>
      <c r="T36" s="173"/>
      <c r="U36" s="249"/>
      <c r="V36" s="163"/>
      <c r="W36" s="34"/>
    </row>
    <row r="37" spans="1:23" s="13" customFormat="1" ht="20.25" customHeight="1" x14ac:dyDescent="0.2">
      <c r="A37" s="190"/>
      <c r="B37" s="168"/>
      <c r="C37" s="168"/>
      <c r="D37" s="281"/>
      <c r="E37" s="168"/>
      <c r="F37" s="168"/>
      <c r="G37" s="284"/>
      <c r="H37" s="284"/>
      <c r="I37" s="284"/>
      <c r="J37" s="284"/>
      <c r="K37" s="284"/>
      <c r="L37" s="284"/>
      <c r="M37" s="284">
        <f>SUM(M2:M36)</f>
        <v>13650000</v>
      </c>
      <c r="N37" s="284"/>
      <c r="O37" s="284"/>
      <c r="P37" s="284"/>
      <c r="Q37" s="345"/>
      <c r="S37" s="14"/>
      <c r="T37" s="345"/>
      <c r="U37" s="70"/>
    </row>
    <row r="38" spans="1:23" s="34" customFormat="1" ht="20.25" customHeight="1" x14ac:dyDescent="0.2">
      <c r="A38" s="162">
        <v>1</v>
      </c>
      <c r="B38" s="167" t="s">
        <v>255</v>
      </c>
      <c r="C38" s="563" t="s">
        <v>254</v>
      </c>
      <c r="D38" s="566">
        <v>40659</v>
      </c>
      <c r="E38" s="49" t="s">
        <v>387</v>
      </c>
      <c r="F38" s="208"/>
      <c r="G38" s="207"/>
      <c r="H38" s="207"/>
      <c r="I38" s="207"/>
      <c r="J38" s="206"/>
      <c r="K38" s="218"/>
      <c r="L38" s="444">
        <v>1000000</v>
      </c>
      <c r="M38" s="449">
        <f>SUM(L38+50000)</f>
        <v>1050000</v>
      </c>
      <c r="N38" s="584">
        <f>SUM(M38+50000)</f>
        <v>1100000</v>
      </c>
      <c r="O38" s="574">
        <f>SUM(N38*12/10)</f>
        <v>1320000</v>
      </c>
      <c r="P38" s="201"/>
      <c r="Q38" s="82"/>
      <c r="R38" s="684"/>
      <c r="S38" s="180"/>
      <c r="T38" s="205"/>
      <c r="U38" s="172" t="str">
        <f t="shared" ref="U38:U52" si="1">"1"&amp;D38</f>
        <v>140659</v>
      </c>
      <c r="V38" s="172" t="str">
        <f t="shared" ref="V38:V52" si="2">"2"&amp;D38</f>
        <v>240659</v>
      </c>
    </row>
    <row r="39" spans="1:23" s="34" customFormat="1" ht="20.25" customHeight="1" x14ac:dyDescent="0.2">
      <c r="A39" s="162">
        <v>2</v>
      </c>
      <c r="B39" s="167" t="s">
        <v>255</v>
      </c>
      <c r="C39" s="563" t="s">
        <v>254</v>
      </c>
      <c r="D39" s="566">
        <v>40660</v>
      </c>
      <c r="E39" s="49" t="s">
        <v>386</v>
      </c>
      <c r="F39" s="208"/>
      <c r="G39" s="207"/>
      <c r="H39" s="207"/>
      <c r="I39" s="207"/>
      <c r="J39" s="206"/>
      <c r="K39" s="218"/>
      <c r="L39" s="445">
        <v>750000</v>
      </c>
      <c r="M39" s="449">
        <f t="shared" ref="M39:M52" si="3">SUM(L39+50000)</f>
        <v>800000</v>
      </c>
      <c r="N39" s="584">
        <f t="shared" ref="N39:N52" si="4">SUM(M39+50000)</f>
        <v>850000</v>
      </c>
      <c r="O39" s="574">
        <f t="shared" ref="O39:O52" si="5">SUM(N39*12/10)</f>
        <v>1020000</v>
      </c>
      <c r="P39" s="201"/>
      <c r="Q39" s="82"/>
      <c r="R39" s="684"/>
      <c r="S39" s="180"/>
      <c r="T39" s="205"/>
      <c r="U39" s="172" t="str">
        <f t="shared" si="1"/>
        <v>140660</v>
      </c>
      <c r="V39" s="172" t="str">
        <f t="shared" si="2"/>
        <v>240660</v>
      </c>
    </row>
    <row r="40" spans="1:23" s="34" customFormat="1" ht="20.25" customHeight="1" x14ac:dyDescent="0.2">
      <c r="A40" s="162">
        <v>3</v>
      </c>
      <c r="B40" s="167" t="s">
        <v>255</v>
      </c>
      <c r="C40" s="563" t="s">
        <v>254</v>
      </c>
      <c r="D40" s="566">
        <v>40661</v>
      </c>
      <c r="E40" s="49" t="s">
        <v>385</v>
      </c>
      <c r="F40" s="208"/>
      <c r="G40" s="207"/>
      <c r="H40" s="207"/>
      <c r="I40" s="207"/>
      <c r="J40" s="206"/>
      <c r="K40" s="218"/>
      <c r="L40" s="445">
        <v>1250000</v>
      </c>
      <c r="M40" s="449">
        <f t="shared" si="3"/>
        <v>1300000</v>
      </c>
      <c r="N40" s="584">
        <f t="shared" si="4"/>
        <v>1350000</v>
      </c>
      <c r="O40" s="574">
        <f t="shared" si="5"/>
        <v>1620000</v>
      </c>
      <c r="P40" s="201"/>
      <c r="Q40" s="82"/>
      <c r="R40" s="684"/>
      <c r="S40" s="180"/>
      <c r="T40" s="205"/>
      <c r="U40" s="172" t="str">
        <f t="shared" si="1"/>
        <v>140661</v>
      </c>
      <c r="V40" s="172" t="str">
        <f t="shared" si="2"/>
        <v>240661</v>
      </c>
    </row>
    <row r="41" spans="1:23" s="34" customFormat="1" ht="20.25" customHeight="1" x14ac:dyDescent="0.2">
      <c r="A41" s="162">
        <v>4</v>
      </c>
      <c r="B41" s="167" t="s">
        <v>255</v>
      </c>
      <c r="C41" s="563" t="s">
        <v>254</v>
      </c>
      <c r="D41" s="566">
        <v>40662</v>
      </c>
      <c r="E41" s="134" t="s">
        <v>384</v>
      </c>
      <c r="F41" s="208"/>
      <c r="G41" s="207"/>
      <c r="H41" s="207"/>
      <c r="I41" s="207"/>
      <c r="J41" s="206"/>
      <c r="K41" s="218"/>
      <c r="L41" s="445">
        <v>1250000</v>
      </c>
      <c r="M41" s="449">
        <f t="shared" si="3"/>
        <v>1300000</v>
      </c>
      <c r="N41" s="584">
        <f t="shared" si="4"/>
        <v>1350000</v>
      </c>
      <c r="O41" s="574">
        <f t="shared" si="5"/>
        <v>1620000</v>
      </c>
      <c r="P41" s="201"/>
      <c r="Q41" s="82"/>
      <c r="R41" s="684"/>
      <c r="S41" s="180"/>
      <c r="T41" s="205"/>
      <c r="U41" s="172" t="str">
        <f t="shared" si="1"/>
        <v>140662</v>
      </c>
      <c r="V41" s="172" t="str">
        <f t="shared" si="2"/>
        <v>240662</v>
      </c>
    </row>
    <row r="42" spans="1:23" s="34" customFormat="1" ht="20.25" customHeight="1" x14ac:dyDescent="0.2">
      <c r="A42" s="162">
        <v>5</v>
      </c>
      <c r="B42" s="167" t="s">
        <v>255</v>
      </c>
      <c r="C42" s="563" t="s">
        <v>254</v>
      </c>
      <c r="D42" s="566">
        <v>40663</v>
      </c>
      <c r="E42" s="49" t="s">
        <v>383</v>
      </c>
      <c r="F42" s="208"/>
      <c r="G42" s="207"/>
      <c r="H42" s="207"/>
      <c r="I42" s="207"/>
      <c r="J42" s="206"/>
      <c r="K42" s="218"/>
      <c r="L42" s="446">
        <v>750000</v>
      </c>
      <c r="M42" s="449">
        <f t="shared" si="3"/>
        <v>800000</v>
      </c>
      <c r="N42" s="584">
        <f t="shared" si="4"/>
        <v>850000</v>
      </c>
      <c r="O42" s="574">
        <f t="shared" si="5"/>
        <v>1020000</v>
      </c>
      <c r="P42" s="201"/>
      <c r="Q42" s="82"/>
      <c r="R42" s="684"/>
      <c r="S42" s="180"/>
      <c r="T42" s="205"/>
      <c r="U42" s="172" t="str">
        <f t="shared" si="1"/>
        <v>140663</v>
      </c>
      <c r="V42" s="172" t="str">
        <f t="shared" si="2"/>
        <v>240663</v>
      </c>
    </row>
    <row r="43" spans="1:23" s="34" customFormat="1" ht="20.25" customHeight="1" x14ac:dyDescent="0.2">
      <c r="A43" s="162">
        <v>6</v>
      </c>
      <c r="B43" s="167" t="s">
        <v>255</v>
      </c>
      <c r="C43" s="563" t="s">
        <v>254</v>
      </c>
      <c r="D43" s="566">
        <v>40664</v>
      </c>
      <c r="E43" s="67" t="s">
        <v>382</v>
      </c>
      <c r="F43" s="208"/>
      <c r="G43" s="207"/>
      <c r="H43" s="206"/>
      <c r="I43" s="219"/>
      <c r="J43" s="206"/>
      <c r="K43" s="218"/>
      <c r="L43" s="444">
        <v>1250000</v>
      </c>
      <c r="M43" s="449">
        <f t="shared" si="3"/>
        <v>1300000</v>
      </c>
      <c r="N43" s="584">
        <f t="shared" si="4"/>
        <v>1350000</v>
      </c>
      <c r="O43" s="574">
        <f t="shared" si="5"/>
        <v>1620000</v>
      </c>
      <c r="P43" s="201"/>
      <c r="Q43" s="82"/>
      <c r="R43" s="684"/>
      <c r="S43" s="180"/>
      <c r="T43" s="205"/>
      <c r="U43" s="172" t="str">
        <f t="shared" si="1"/>
        <v>140664</v>
      </c>
      <c r="V43" s="172" t="str">
        <f t="shared" si="2"/>
        <v>240664</v>
      </c>
    </row>
    <row r="44" spans="1:23" s="34" customFormat="1" ht="20.25" customHeight="1" x14ac:dyDescent="0.2">
      <c r="A44" s="162">
        <v>7</v>
      </c>
      <c r="B44" s="167" t="s">
        <v>255</v>
      </c>
      <c r="C44" s="563" t="s">
        <v>254</v>
      </c>
      <c r="D44" s="566">
        <v>40665</v>
      </c>
      <c r="E44" s="49" t="s">
        <v>381</v>
      </c>
      <c r="F44" s="208"/>
      <c r="G44" s="207"/>
      <c r="H44" s="207"/>
      <c r="I44" s="207"/>
      <c r="J44" s="206"/>
      <c r="K44" s="218"/>
      <c r="L44" s="446">
        <v>750000</v>
      </c>
      <c r="M44" s="449">
        <f t="shared" si="3"/>
        <v>800000</v>
      </c>
      <c r="N44" s="584">
        <f t="shared" si="4"/>
        <v>850000</v>
      </c>
      <c r="O44" s="574">
        <f t="shared" si="5"/>
        <v>1020000</v>
      </c>
      <c r="P44" s="201"/>
      <c r="Q44" s="82"/>
      <c r="R44" s="684"/>
      <c r="S44" s="180"/>
      <c r="T44" s="205"/>
      <c r="U44" s="172" t="str">
        <f t="shared" si="1"/>
        <v>140665</v>
      </c>
      <c r="V44" s="172" t="str">
        <f t="shared" si="2"/>
        <v>240665</v>
      </c>
    </row>
    <row r="45" spans="1:23" s="34" customFormat="1" ht="20.25" customHeight="1" x14ac:dyDescent="0.2">
      <c r="A45" s="162">
        <v>8</v>
      </c>
      <c r="B45" s="167" t="s">
        <v>255</v>
      </c>
      <c r="C45" s="563" t="s">
        <v>254</v>
      </c>
      <c r="D45" s="566">
        <v>40666</v>
      </c>
      <c r="E45" s="49" t="s">
        <v>380</v>
      </c>
      <c r="F45" s="208"/>
      <c r="G45" s="207"/>
      <c r="H45" s="207"/>
      <c r="I45" s="207"/>
      <c r="J45" s="206"/>
      <c r="K45" s="218"/>
      <c r="L45" s="446">
        <v>1250000</v>
      </c>
      <c r="M45" s="449">
        <f t="shared" si="3"/>
        <v>1300000</v>
      </c>
      <c r="N45" s="584">
        <f t="shared" si="4"/>
        <v>1350000</v>
      </c>
      <c r="O45" s="574">
        <f t="shared" si="5"/>
        <v>1620000</v>
      </c>
      <c r="P45" s="201"/>
      <c r="Q45" s="82"/>
      <c r="R45" s="684"/>
      <c r="S45" s="180"/>
      <c r="T45" s="205"/>
      <c r="U45" s="172" t="str">
        <f t="shared" si="1"/>
        <v>140666</v>
      </c>
      <c r="V45" s="172" t="str">
        <f t="shared" si="2"/>
        <v>240666</v>
      </c>
    </row>
    <row r="46" spans="1:23" s="34" customFormat="1" ht="20.25" customHeight="1" x14ac:dyDescent="0.2">
      <c r="A46" s="162">
        <v>9</v>
      </c>
      <c r="B46" s="167" t="s">
        <v>255</v>
      </c>
      <c r="C46" s="563" t="s">
        <v>254</v>
      </c>
      <c r="D46" s="566">
        <v>40667</v>
      </c>
      <c r="E46" s="564" t="s">
        <v>379</v>
      </c>
      <c r="F46" s="208"/>
      <c r="G46" s="207"/>
      <c r="H46" s="207"/>
      <c r="I46" s="207"/>
      <c r="J46" s="206"/>
      <c r="K46" s="218"/>
      <c r="L46" s="446">
        <v>1250000</v>
      </c>
      <c r="M46" s="449">
        <f t="shared" si="3"/>
        <v>1300000</v>
      </c>
      <c r="N46" s="584">
        <f t="shared" si="4"/>
        <v>1350000</v>
      </c>
      <c r="O46" s="574">
        <f t="shared" si="5"/>
        <v>1620000</v>
      </c>
      <c r="P46" s="201"/>
      <c r="Q46" s="82"/>
      <c r="R46" s="684"/>
      <c r="S46" s="180"/>
      <c r="T46" s="205"/>
      <c r="U46" s="172" t="str">
        <f t="shared" si="1"/>
        <v>140667</v>
      </c>
      <c r="V46" s="172" t="str">
        <f t="shared" si="2"/>
        <v>240667</v>
      </c>
    </row>
    <row r="47" spans="1:23" s="34" customFormat="1" ht="20.25" customHeight="1" x14ac:dyDescent="0.2">
      <c r="A47" s="162">
        <v>10</v>
      </c>
      <c r="B47" s="167" t="s">
        <v>255</v>
      </c>
      <c r="C47" s="563" t="s">
        <v>254</v>
      </c>
      <c r="D47" s="566">
        <v>40668</v>
      </c>
      <c r="E47" s="564" t="s">
        <v>378</v>
      </c>
      <c r="F47" s="208"/>
      <c r="G47" s="207"/>
      <c r="H47" s="207"/>
      <c r="I47" s="207"/>
      <c r="J47" s="206"/>
      <c r="K47" s="258"/>
      <c r="L47" s="447">
        <v>1250000</v>
      </c>
      <c r="M47" s="449">
        <f t="shared" si="3"/>
        <v>1300000</v>
      </c>
      <c r="N47" s="584">
        <f t="shared" si="4"/>
        <v>1350000</v>
      </c>
      <c r="O47" s="574">
        <f t="shared" si="5"/>
        <v>1620000</v>
      </c>
      <c r="P47" s="201"/>
      <c r="Q47" s="82"/>
      <c r="R47" s="684"/>
      <c r="S47" s="180"/>
      <c r="T47" s="205"/>
      <c r="U47" s="172" t="str">
        <f t="shared" si="1"/>
        <v>140668</v>
      </c>
      <c r="V47" s="172" t="str">
        <f t="shared" si="2"/>
        <v>240668</v>
      </c>
    </row>
    <row r="48" spans="1:23" s="528" customFormat="1" ht="20.25" customHeight="1" x14ac:dyDescent="0.2">
      <c r="A48" s="668">
        <v>11</v>
      </c>
      <c r="B48" s="669" t="s">
        <v>255</v>
      </c>
      <c r="C48" s="670" t="s">
        <v>254</v>
      </c>
      <c r="D48" s="671">
        <v>40670</v>
      </c>
      <c r="E48" s="672" t="s">
        <v>377</v>
      </c>
      <c r="F48" s="673"/>
      <c r="G48" s="674"/>
      <c r="H48" s="674"/>
      <c r="I48" s="674"/>
      <c r="J48" s="675"/>
      <c r="K48" s="676"/>
      <c r="L48" s="677">
        <v>1250000</v>
      </c>
      <c r="M48" s="678">
        <f t="shared" si="3"/>
        <v>1300000</v>
      </c>
      <c r="N48" s="679">
        <f t="shared" si="4"/>
        <v>1350000</v>
      </c>
      <c r="O48" s="680">
        <f t="shared" si="5"/>
        <v>1620000</v>
      </c>
      <c r="P48" s="681"/>
      <c r="Q48" s="519"/>
      <c r="R48" s="526" t="s">
        <v>500</v>
      </c>
      <c r="S48" s="682"/>
      <c r="T48" s="683"/>
      <c r="U48" s="515" t="str">
        <f t="shared" si="1"/>
        <v>140670</v>
      </c>
      <c r="V48" s="515" t="str">
        <f t="shared" si="2"/>
        <v>240670</v>
      </c>
    </row>
    <row r="49" spans="1:22" s="34" customFormat="1" ht="20.25" customHeight="1" x14ac:dyDescent="0.2">
      <c r="A49" s="162">
        <v>12</v>
      </c>
      <c r="B49" s="167" t="s">
        <v>255</v>
      </c>
      <c r="C49" s="563" t="s">
        <v>254</v>
      </c>
      <c r="D49" s="566">
        <v>40671</v>
      </c>
      <c r="E49" s="565" t="s">
        <v>376</v>
      </c>
      <c r="F49" s="208"/>
      <c r="G49" s="207"/>
      <c r="H49" s="207"/>
      <c r="I49" s="207"/>
      <c r="J49" s="206"/>
      <c r="K49" s="218"/>
      <c r="L49" s="446">
        <v>1250000</v>
      </c>
      <c r="M49" s="449">
        <f t="shared" si="3"/>
        <v>1300000</v>
      </c>
      <c r="N49" s="584">
        <f t="shared" si="4"/>
        <v>1350000</v>
      </c>
      <c r="O49" s="574">
        <f t="shared" si="5"/>
        <v>1620000</v>
      </c>
      <c r="P49" s="201"/>
      <c r="Q49" s="82"/>
      <c r="R49" s="684"/>
      <c r="S49" s="180"/>
      <c r="T49" s="205"/>
      <c r="U49" s="172" t="str">
        <f t="shared" si="1"/>
        <v>140671</v>
      </c>
      <c r="V49" s="172" t="str">
        <f t="shared" si="2"/>
        <v>240671</v>
      </c>
    </row>
    <row r="50" spans="1:22" s="34" customFormat="1" ht="20.25" customHeight="1" x14ac:dyDescent="0.2">
      <c r="A50" s="162">
        <v>13</v>
      </c>
      <c r="B50" s="167" t="s">
        <v>255</v>
      </c>
      <c r="C50" s="563" t="s">
        <v>254</v>
      </c>
      <c r="D50" s="566">
        <v>40684</v>
      </c>
      <c r="E50" s="565" t="s">
        <v>375</v>
      </c>
      <c r="F50" s="208"/>
      <c r="G50" s="207"/>
      <c r="H50" s="207"/>
      <c r="I50" s="207"/>
      <c r="J50" s="206"/>
      <c r="K50" s="218"/>
      <c r="L50" s="446">
        <v>1250000</v>
      </c>
      <c r="M50" s="449">
        <f t="shared" si="3"/>
        <v>1300000</v>
      </c>
      <c r="N50" s="584">
        <f t="shared" si="4"/>
        <v>1350000</v>
      </c>
      <c r="O50" s="574">
        <f t="shared" si="5"/>
        <v>1620000</v>
      </c>
      <c r="P50" s="201"/>
      <c r="Q50" s="82"/>
      <c r="R50" s="684"/>
      <c r="S50" s="180"/>
      <c r="T50" s="205"/>
      <c r="U50" s="172" t="str">
        <f t="shared" si="1"/>
        <v>140684</v>
      </c>
      <c r="V50" s="172" t="str">
        <f t="shared" si="2"/>
        <v>240684</v>
      </c>
    </row>
    <row r="51" spans="1:22" s="34" customFormat="1" ht="20.25" customHeight="1" x14ac:dyDescent="0.2">
      <c r="A51" s="162">
        <v>14</v>
      </c>
      <c r="B51" s="167" t="s">
        <v>255</v>
      </c>
      <c r="C51" s="563" t="s">
        <v>254</v>
      </c>
      <c r="D51" s="566">
        <v>40686</v>
      </c>
      <c r="E51" s="565" t="s">
        <v>374</v>
      </c>
      <c r="F51" s="208"/>
      <c r="G51" s="207"/>
      <c r="H51" s="207"/>
      <c r="I51" s="207"/>
      <c r="J51" s="206"/>
      <c r="K51" s="218"/>
      <c r="L51" s="446">
        <v>1250000</v>
      </c>
      <c r="M51" s="449">
        <f t="shared" si="3"/>
        <v>1300000</v>
      </c>
      <c r="N51" s="584">
        <f t="shared" si="4"/>
        <v>1350000</v>
      </c>
      <c r="O51" s="574">
        <f t="shared" si="5"/>
        <v>1620000</v>
      </c>
      <c r="P51" s="201"/>
      <c r="Q51" s="82"/>
      <c r="R51" s="684"/>
      <c r="S51" s="180"/>
      <c r="T51" s="205"/>
      <c r="U51" s="172" t="str">
        <f t="shared" si="1"/>
        <v>140686</v>
      </c>
      <c r="V51" s="172" t="str">
        <f t="shared" si="2"/>
        <v>240686</v>
      </c>
    </row>
    <row r="52" spans="1:22" s="34" customFormat="1" ht="20.25" customHeight="1" x14ac:dyDescent="0.2">
      <c r="A52" s="162">
        <v>15</v>
      </c>
      <c r="B52" s="167" t="s">
        <v>255</v>
      </c>
      <c r="C52" s="563" t="s">
        <v>254</v>
      </c>
      <c r="D52" s="566">
        <v>40688</v>
      </c>
      <c r="E52" s="565" t="s">
        <v>372</v>
      </c>
      <c r="F52" s="208"/>
      <c r="G52" s="207"/>
      <c r="H52" s="207"/>
      <c r="I52" s="207"/>
      <c r="J52" s="206"/>
      <c r="K52" s="218"/>
      <c r="L52" s="446">
        <v>800000</v>
      </c>
      <c r="M52" s="449">
        <f t="shared" si="3"/>
        <v>850000</v>
      </c>
      <c r="N52" s="584">
        <f t="shared" si="4"/>
        <v>900000</v>
      </c>
      <c r="O52" s="574">
        <f t="shared" si="5"/>
        <v>1080000</v>
      </c>
      <c r="P52" s="201"/>
      <c r="Q52" s="82"/>
      <c r="R52" s="684"/>
      <c r="S52" s="180"/>
      <c r="T52" s="205"/>
      <c r="U52" s="34" t="str">
        <f t="shared" si="1"/>
        <v>140688</v>
      </c>
      <c r="V52" s="34" t="str">
        <f t="shared" si="2"/>
        <v>240688</v>
      </c>
    </row>
    <row r="53" spans="1:22" s="34" customFormat="1" ht="20.25" customHeight="1" x14ac:dyDescent="0.2">
      <c r="A53" s="162"/>
      <c r="B53" s="167"/>
      <c r="C53" s="563"/>
      <c r="D53" s="566"/>
      <c r="E53" s="565"/>
      <c r="F53" s="208"/>
      <c r="G53" s="207"/>
      <c r="H53" s="207"/>
      <c r="I53" s="207"/>
      <c r="J53" s="206"/>
      <c r="K53" s="218"/>
      <c r="L53" s="448"/>
      <c r="M53" s="449"/>
      <c r="N53" s="584"/>
      <c r="O53" s="574"/>
      <c r="P53" s="201"/>
      <c r="Q53" s="205"/>
      <c r="S53" s="180"/>
      <c r="T53" s="205"/>
    </row>
    <row r="54" spans="1:22" s="13" customFormat="1" ht="20.25" customHeight="1" x14ac:dyDescent="0.2">
      <c r="A54" s="217"/>
      <c r="B54" s="216"/>
      <c r="C54" s="216"/>
      <c r="D54" s="215"/>
      <c r="E54" s="189"/>
      <c r="F54" s="214"/>
      <c r="G54" s="213"/>
      <c r="H54" s="213"/>
      <c r="I54" s="213"/>
      <c r="J54" s="212"/>
      <c r="K54" s="211"/>
      <c r="L54" s="341"/>
      <c r="M54" s="342">
        <f>SUM(M38:M53)</f>
        <v>17300000</v>
      </c>
      <c r="N54" s="571"/>
      <c r="O54" s="571"/>
      <c r="P54" s="210"/>
      <c r="Q54" s="209"/>
      <c r="S54" s="14"/>
      <c r="T54" s="209"/>
    </row>
    <row r="55" spans="1:22" s="34" customFormat="1" ht="20.25" customHeight="1" x14ac:dyDescent="0.2">
      <c r="A55" s="162">
        <v>1</v>
      </c>
      <c r="B55" s="24" t="s">
        <v>257</v>
      </c>
      <c r="C55" s="24" t="s">
        <v>343</v>
      </c>
      <c r="D55" s="165" t="s">
        <v>515</v>
      </c>
      <c r="E55" s="489" t="s">
        <v>474</v>
      </c>
      <c r="F55" s="208"/>
      <c r="G55" s="207"/>
      <c r="H55" s="207"/>
      <c r="I55" s="207"/>
      <c r="J55" s="206"/>
      <c r="K55" s="258"/>
      <c r="L55" s="339"/>
      <c r="M55" s="340"/>
      <c r="N55" s="266">
        <v>1150000</v>
      </c>
      <c r="O55" s="572"/>
      <c r="P55" s="201">
        <v>2000000</v>
      </c>
      <c r="Q55" s="205"/>
      <c r="S55" s="23"/>
    </row>
    <row r="56" spans="1:22" s="34" customFormat="1" ht="20.25" customHeight="1" x14ac:dyDescent="0.2">
      <c r="A56" s="162">
        <v>2</v>
      </c>
      <c r="B56" s="24" t="s">
        <v>257</v>
      </c>
      <c r="C56" s="24" t="s">
        <v>343</v>
      </c>
      <c r="D56" s="165" t="s">
        <v>516</v>
      </c>
      <c r="E56" s="204" t="s">
        <v>475</v>
      </c>
      <c r="F56" s="208"/>
      <c r="G56" s="207"/>
      <c r="H56" s="207"/>
      <c r="I56" s="207"/>
      <c r="J56" s="206"/>
      <c r="K56" s="258"/>
      <c r="L56" s="339"/>
      <c r="M56" s="340"/>
      <c r="N56" s="266">
        <v>1150000</v>
      </c>
      <c r="O56" s="572"/>
      <c r="P56" s="201">
        <v>2000000</v>
      </c>
      <c r="Q56" s="205"/>
      <c r="S56" s="23"/>
    </row>
    <row r="57" spans="1:22" s="34" customFormat="1" ht="20.25" customHeight="1" x14ac:dyDescent="0.2">
      <c r="A57" s="162">
        <v>3</v>
      </c>
      <c r="B57" s="24" t="s">
        <v>257</v>
      </c>
      <c r="C57" s="24" t="s">
        <v>343</v>
      </c>
      <c r="D57" s="165" t="s">
        <v>517</v>
      </c>
      <c r="E57" s="204" t="s">
        <v>476</v>
      </c>
      <c r="F57" s="208"/>
      <c r="G57" s="207"/>
      <c r="H57" s="207"/>
      <c r="I57" s="207"/>
      <c r="J57" s="206"/>
      <c r="K57" s="258"/>
      <c r="L57" s="339"/>
      <c r="M57" s="340"/>
      <c r="N57" s="266">
        <v>1150000</v>
      </c>
      <c r="O57" s="572"/>
      <c r="P57" s="201">
        <v>2000000</v>
      </c>
      <c r="Q57" s="205"/>
      <c r="S57" s="23"/>
    </row>
    <row r="58" spans="1:22" s="34" customFormat="1" ht="20.25" customHeight="1" x14ac:dyDescent="0.2">
      <c r="A58" s="162">
        <v>4</v>
      </c>
      <c r="B58" s="24" t="s">
        <v>257</v>
      </c>
      <c r="C58" s="24" t="s">
        <v>343</v>
      </c>
      <c r="D58" s="165" t="s">
        <v>518</v>
      </c>
      <c r="E58" s="204" t="s">
        <v>477</v>
      </c>
      <c r="F58" s="208"/>
      <c r="G58" s="207"/>
      <c r="H58" s="207"/>
      <c r="I58" s="207"/>
      <c r="J58" s="206"/>
      <c r="K58" s="258"/>
      <c r="L58" s="339"/>
      <c r="M58" s="340"/>
      <c r="N58" s="266">
        <v>1150000</v>
      </c>
      <c r="O58" s="572"/>
      <c r="P58" s="201">
        <v>2000000</v>
      </c>
      <c r="Q58" s="205"/>
      <c r="S58" s="23"/>
    </row>
    <row r="59" spans="1:22" s="357" customFormat="1" ht="20.25" customHeight="1" x14ac:dyDescent="0.2">
      <c r="A59" s="503">
        <v>5</v>
      </c>
      <c r="B59" s="392" t="s">
        <v>257</v>
      </c>
      <c r="C59" s="392" t="s">
        <v>343</v>
      </c>
      <c r="D59" s="165" t="s">
        <v>519</v>
      </c>
      <c r="E59" s="504" t="s">
        <v>2</v>
      </c>
      <c r="F59" s="505"/>
      <c r="G59" s="506"/>
      <c r="H59" s="506"/>
      <c r="I59" s="506"/>
      <c r="J59" s="507"/>
      <c r="K59" s="508"/>
      <c r="L59" s="509"/>
      <c r="M59" s="510"/>
      <c r="N59" s="502">
        <v>950000</v>
      </c>
      <c r="O59" s="573"/>
      <c r="P59" s="511" t="s">
        <v>501</v>
      </c>
      <c r="Q59" s="512"/>
      <c r="S59" s="403"/>
    </row>
    <row r="60" spans="1:22" s="34" customFormat="1" ht="20.25" customHeight="1" x14ac:dyDescent="0.2">
      <c r="A60" s="162">
        <v>6</v>
      </c>
      <c r="B60" s="24" t="s">
        <v>257</v>
      </c>
      <c r="C60" s="24" t="s">
        <v>343</v>
      </c>
      <c r="D60" s="165" t="s">
        <v>520</v>
      </c>
      <c r="E60" s="204" t="s">
        <v>478</v>
      </c>
      <c r="F60" s="208"/>
      <c r="G60" s="207"/>
      <c r="H60" s="207"/>
      <c r="I60" s="207"/>
      <c r="J60" s="206"/>
      <c r="K60" s="258"/>
      <c r="L60" s="339"/>
      <c r="M60" s="340"/>
      <c r="N60" s="266">
        <v>1150000</v>
      </c>
      <c r="O60" s="572"/>
      <c r="P60" s="201">
        <v>2000000</v>
      </c>
      <c r="Q60" s="205"/>
      <c r="S60" s="23"/>
    </row>
    <row r="61" spans="1:22" s="34" customFormat="1" ht="20.25" customHeight="1" x14ac:dyDescent="0.2">
      <c r="A61" s="162">
        <v>7</v>
      </c>
      <c r="B61" s="24" t="s">
        <v>257</v>
      </c>
      <c r="C61" s="24" t="s">
        <v>343</v>
      </c>
      <c r="D61" s="165" t="s">
        <v>521</v>
      </c>
      <c r="E61" s="204" t="s">
        <v>479</v>
      </c>
      <c r="F61" s="208"/>
      <c r="G61" s="207"/>
      <c r="H61" s="207"/>
      <c r="I61" s="207"/>
      <c r="J61" s="206"/>
      <c r="K61" s="258"/>
      <c r="L61" s="339"/>
      <c r="M61" s="340"/>
      <c r="N61" s="266">
        <v>1150000</v>
      </c>
      <c r="O61" s="572"/>
      <c r="P61" s="201">
        <v>2000000</v>
      </c>
      <c r="Q61" s="205"/>
      <c r="S61" s="23"/>
    </row>
    <row r="62" spans="1:22" s="34" customFormat="1" ht="20.25" customHeight="1" x14ac:dyDescent="0.2">
      <c r="A62" s="162">
        <v>8</v>
      </c>
      <c r="B62" s="24" t="s">
        <v>257</v>
      </c>
      <c r="C62" s="24" t="s">
        <v>343</v>
      </c>
      <c r="D62" s="165" t="s">
        <v>522</v>
      </c>
      <c r="E62" s="204" t="s">
        <v>480</v>
      </c>
      <c r="F62" s="208"/>
      <c r="G62" s="207"/>
      <c r="H62" s="207"/>
      <c r="I62" s="207"/>
      <c r="J62" s="206"/>
      <c r="K62" s="258"/>
      <c r="L62" s="339"/>
      <c r="M62" s="340"/>
      <c r="N62" s="266">
        <v>1150000</v>
      </c>
      <c r="O62" s="572"/>
      <c r="P62" s="201">
        <v>2000000</v>
      </c>
      <c r="Q62" s="205"/>
      <c r="S62" s="23"/>
    </row>
    <row r="63" spans="1:22" s="34" customFormat="1" ht="20.25" customHeight="1" x14ac:dyDescent="0.2">
      <c r="A63" s="162">
        <v>9</v>
      </c>
      <c r="B63" s="24" t="s">
        <v>257</v>
      </c>
      <c r="C63" s="24" t="s">
        <v>343</v>
      </c>
      <c r="D63" s="165" t="s">
        <v>523</v>
      </c>
      <c r="E63" s="204" t="s">
        <v>481</v>
      </c>
      <c r="F63" s="208"/>
      <c r="G63" s="207"/>
      <c r="H63" s="207"/>
      <c r="I63" s="207"/>
      <c r="J63" s="206"/>
      <c r="K63" s="258"/>
      <c r="L63" s="339"/>
      <c r="M63" s="340"/>
      <c r="N63" s="266">
        <v>1150000</v>
      </c>
      <c r="O63" s="572"/>
      <c r="P63" s="201">
        <v>2000000</v>
      </c>
      <c r="Q63" s="205"/>
      <c r="S63" s="23"/>
    </row>
    <row r="64" spans="1:22" s="34" customFormat="1" ht="20.25" customHeight="1" x14ac:dyDescent="0.2">
      <c r="A64" s="162">
        <v>10</v>
      </c>
      <c r="B64" s="24" t="s">
        <v>257</v>
      </c>
      <c r="C64" s="24" t="s">
        <v>343</v>
      </c>
      <c r="D64" s="165" t="s">
        <v>524</v>
      </c>
      <c r="E64" s="490" t="s">
        <v>482</v>
      </c>
      <c r="F64" s="208"/>
      <c r="G64" s="207"/>
      <c r="H64" s="207"/>
      <c r="I64" s="207"/>
      <c r="J64" s="206"/>
      <c r="K64" s="258"/>
      <c r="L64" s="339"/>
      <c r="M64" s="340"/>
      <c r="N64" s="266">
        <v>1150000</v>
      </c>
      <c r="O64" s="572"/>
      <c r="P64" s="514">
        <v>2000000</v>
      </c>
      <c r="Q64" s="205"/>
      <c r="S64" s="23"/>
    </row>
    <row r="65" spans="1:22" s="34" customFormat="1" ht="20.25" customHeight="1" x14ac:dyDescent="0.2">
      <c r="A65" s="162">
        <v>11</v>
      </c>
      <c r="B65" s="24" t="s">
        <v>257</v>
      </c>
      <c r="C65" s="24" t="s">
        <v>343</v>
      </c>
      <c r="D65" s="165" t="s">
        <v>525</v>
      </c>
      <c r="E65" s="204" t="s">
        <v>489</v>
      </c>
      <c r="F65" s="208"/>
      <c r="G65" s="207"/>
      <c r="H65" s="207"/>
      <c r="I65" s="207"/>
      <c r="J65" s="206"/>
      <c r="K65" s="258"/>
      <c r="L65" s="339"/>
      <c r="M65" s="340"/>
      <c r="N65" s="266">
        <v>1150000</v>
      </c>
      <c r="O65" s="572"/>
      <c r="P65" s="201">
        <v>2000000</v>
      </c>
      <c r="Q65" s="205"/>
      <c r="S65" s="23"/>
    </row>
    <row r="66" spans="1:22" s="357" customFormat="1" ht="20.25" customHeight="1" x14ac:dyDescent="0.2">
      <c r="A66" s="503">
        <v>12</v>
      </c>
      <c r="B66" s="392" t="s">
        <v>257</v>
      </c>
      <c r="C66" s="392" t="s">
        <v>343</v>
      </c>
      <c r="D66" s="165" t="s">
        <v>526</v>
      </c>
      <c r="E66" s="513" t="s">
        <v>490</v>
      </c>
      <c r="F66" s="505"/>
      <c r="G66" s="506"/>
      <c r="H66" s="506"/>
      <c r="I66" s="506"/>
      <c r="J66" s="507"/>
      <c r="K66" s="508"/>
      <c r="L66" s="509"/>
      <c r="M66" s="510"/>
      <c r="N66" s="502">
        <v>825000</v>
      </c>
      <c r="O66" s="573"/>
      <c r="P66" s="511">
        <v>2000000</v>
      </c>
      <c r="Q66" s="512"/>
      <c r="S66" s="403"/>
    </row>
    <row r="67" spans="1:22" s="34" customFormat="1" ht="20.25" customHeight="1" x14ac:dyDescent="0.2">
      <c r="A67" s="162"/>
      <c r="B67" s="167"/>
      <c r="C67" s="167"/>
      <c r="D67" s="165"/>
      <c r="E67" s="202"/>
      <c r="F67" s="208"/>
      <c r="G67" s="207"/>
      <c r="H67" s="207"/>
      <c r="I67" s="207"/>
      <c r="J67" s="206"/>
      <c r="K67" s="258"/>
      <c r="L67" s="339"/>
      <c r="M67" s="340"/>
      <c r="N67" s="585"/>
      <c r="O67" s="572"/>
      <c r="P67" s="201"/>
      <c r="Q67" s="205"/>
      <c r="S67" s="23"/>
    </row>
    <row r="68" spans="1:22" s="34" customFormat="1" ht="20.25" customHeight="1" x14ac:dyDescent="0.2">
      <c r="A68" s="162"/>
      <c r="B68" s="167"/>
      <c r="C68" s="167"/>
      <c r="D68" s="165"/>
      <c r="E68" s="202"/>
      <c r="F68" s="208"/>
      <c r="G68" s="207"/>
      <c r="H68" s="207"/>
      <c r="I68" s="207"/>
      <c r="J68" s="206"/>
      <c r="K68" s="258"/>
      <c r="L68" s="339"/>
      <c r="M68" s="340"/>
      <c r="N68" s="585"/>
      <c r="O68" s="572"/>
      <c r="P68" s="201"/>
      <c r="Q68" s="205"/>
      <c r="S68" s="23"/>
    </row>
    <row r="69" spans="1:22" s="34" customFormat="1" ht="20.25" customHeight="1" x14ac:dyDescent="0.2">
      <c r="A69" s="162"/>
      <c r="B69" s="167"/>
      <c r="C69" s="167"/>
      <c r="D69" s="165"/>
      <c r="E69" s="202"/>
      <c r="F69" s="208"/>
      <c r="G69" s="207"/>
      <c r="H69" s="207"/>
      <c r="I69" s="207"/>
      <c r="J69" s="206"/>
      <c r="K69" s="258"/>
      <c r="L69" s="339"/>
      <c r="M69" s="340"/>
      <c r="N69" s="585"/>
      <c r="O69" s="572"/>
      <c r="P69" s="201"/>
      <c r="Q69" s="205"/>
      <c r="S69" s="23"/>
    </row>
    <row r="70" spans="1:22" s="34" customFormat="1" ht="20.25" customHeight="1" x14ac:dyDescent="0.2">
      <c r="A70" s="162"/>
      <c r="B70" s="167"/>
      <c r="C70" s="167"/>
      <c r="D70" s="165"/>
      <c r="E70" s="202"/>
      <c r="F70" s="208"/>
      <c r="G70" s="207"/>
      <c r="H70" s="207"/>
      <c r="I70" s="207"/>
      <c r="J70" s="206"/>
      <c r="K70" s="258"/>
      <c r="L70" s="339"/>
      <c r="M70" s="340"/>
      <c r="N70" s="585"/>
      <c r="O70" s="572"/>
      <c r="P70" s="201"/>
      <c r="Q70" s="205"/>
      <c r="S70" s="23"/>
    </row>
    <row r="71" spans="1:22" s="34" customFormat="1" ht="20.25" customHeight="1" x14ac:dyDescent="0.2">
      <c r="A71" s="162"/>
      <c r="B71" s="167"/>
      <c r="C71" s="167"/>
      <c r="D71" s="165"/>
      <c r="E71" s="202"/>
      <c r="F71" s="208"/>
      <c r="G71" s="207"/>
      <c r="H71" s="207"/>
      <c r="I71" s="207"/>
      <c r="J71" s="206"/>
      <c r="K71" s="258"/>
      <c r="L71" s="339"/>
      <c r="M71" s="340"/>
      <c r="N71" s="585"/>
      <c r="O71" s="572"/>
      <c r="P71" s="201"/>
      <c r="Q71" s="205"/>
      <c r="S71" s="23"/>
    </row>
    <row r="72" spans="1:22" s="34" customFormat="1" ht="20.25" customHeight="1" x14ac:dyDescent="0.2">
      <c r="A72" s="162"/>
      <c r="B72" s="167"/>
      <c r="C72" s="167"/>
      <c r="D72" s="165"/>
      <c r="E72" s="202"/>
      <c r="F72" s="208"/>
      <c r="G72" s="207"/>
      <c r="H72" s="207"/>
      <c r="I72" s="207"/>
      <c r="J72" s="206"/>
      <c r="K72" s="258"/>
      <c r="L72" s="339"/>
      <c r="M72" s="340"/>
      <c r="N72" s="585"/>
      <c r="O72" s="572"/>
      <c r="P72" s="201"/>
      <c r="Q72" s="205"/>
      <c r="S72" s="23"/>
    </row>
    <row r="73" spans="1:22" s="34" customFormat="1" ht="20.25" customHeight="1" x14ac:dyDescent="0.2">
      <c r="A73" s="162"/>
      <c r="B73" s="167"/>
      <c r="C73" s="167"/>
      <c r="D73" s="165"/>
      <c r="E73" s="202"/>
      <c r="F73" s="208"/>
      <c r="G73" s="207"/>
      <c r="H73" s="207"/>
      <c r="I73" s="207"/>
      <c r="J73" s="206"/>
      <c r="K73" s="258"/>
      <c r="L73" s="339"/>
      <c r="M73" s="340"/>
      <c r="N73" s="585"/>
      <c r="O73" s="572"/>
      <c r="P73" s="201"/>
      <c r="Q73" s="205"/>
      <c r="S73" s="23"/>
    </row>
    <row r="74" spans="1:22" s="34" customFormat="1" ht="20.25" customHeight="1" x14ac:dyDescent="0.2">
      <c r="A74" s="162"/>
      <c r="B74" s="167"/>
      <c r="C74" s="167"/>
      <c r="D74" s="165"/>
      <c r="E74" s="202"/>
      <c r="F74" s="208"/>
      <c r="G74" s="207"/>
      <c r="H74" s="207"/>
      <c r="I74" s="207"/>
      <c r="J74" s="206"/>
      <c r="K74" s="258"/>
      <c r="L74" s="339"/>
      <c r="M74" s="340"/>
      <c r="N74" s="585"/>
      <c r="O74" s="572"/>
      <c r="P74" s="201"/>
      <c r="Q74" s="205"/>
      <c r="S74" s="23"/>
    </row>
    <row r="75" spans="1:22" s="34" customFormat="1" ht="20.25" customHeight="1" x14ac:dyDescent="0.2">
      <c r="A75" s="162"/>
      <c r="B75" s="167"/>
      <c r="C75" s="167"/>
      <c r="D75" s="165"/>
      <c r="E75" s="202"/>
      <c r="F75" s="208"/>
      <c r="G75" s="207"/>
      <c r="H75" s="207"/>
      <c r="I75" s="207"/>
      <c r="J75" s="206"/>
      <c r="K75" s="258"/>
      <c r="L75" s="339"/>
      <c r="M75" s="340"/>
      <c r="N75" s="585"/>
      <c r="O75" s="572"/>
      <c r="P75" s="201"/>
      <c r="Q75" s="205"/>
      <c r="S75" s="23"/>
    </row>
    <row r="76" spans="1:22" s="13" customFormat="1" ht="20.25" customHeight="1" x14ac:dyDescent="0.2">
      <c r="A76" s="217"/>
      <c r="B76" s="216"/>
      <c r="C76" s="216"/>
      <c r="D76" s="338"/>
      <c r="E76" s="189"/>
      <c r="F76" s="214"/>
      <c r="G76" s="213"/>
      <c r="H76" s="213"/>
      <c r="I76" s="213"/>
      <c r="J76" s="212"/>
      <c r="K76" s="211"/>
      <c r="L76" s="341"/>
      <c r="M76" s="342"/>
      <c r="N76" s="571"/>
      <c r="O76" s="571"/>
      <c r="P76" s="210"/>
      <c r="Q76" s="209"/>
      <c r="S76" s="14"/>
    </row>
    <row r="77" spans="1:22" s="34" customFormat="1" ht="20.25" customHeight="1" x14ac:dyDescent="0.15">
      <c r="A77" s="169">
        <v>1</v>
      </c>
      <c r="B77" s="24" t="s">
        <v>257</v>
      </c>
      <c r="C77" s="24" t="s">
        <v>271</v>
      </c>
      <c r="D77" s="296">
        <v>30857</v>
      </c>
      <c r="E77" s="263" t="s">
        <v>263</v>
      </c>
      <c r="F77" s="172"/>
      <c r="G77" s="82"/>
      <c r="H77" s="82"/>
      <c r="I77" s="82"/>
      <c r="J77" s="82"/>
      <c r="K77" s="72"/>
      <c r="L77" s="251"/>
      <c r="M77" s="347">
        <v>1150000</v>
      </c>
      <c r="N77" s="266">
        <f>SUM(M77+50000)</f>
        <v>1200000</v>
      </c>
      <c r="O77" s="579"/>
      <c r="P77" s="82"/>
      <c r="Q77" s="82"/>
      <c r="R77" s="684"/>
      <c r="S77" s="180"/>
      <c r="U77" s="172"/>
      <c r="V77" s="172"/>
    </row>
    <row r="78" spans="1:22" s="34" customFormat="1" ht="20.25" customHeight="1" x14ac:dyDescent="0.15">
      <c r="A78" s="169">
        <v>2</v>
      </c>
      <c r="B78" s="24" t="s">
        <v>257</v>
      </c>
      <c r="C78" s="24" t="s">
        <v>271</v>
      </c>
      <c r="D78" s="296">
        <v>30858</v>
      </c>
      <c r="E78" s="263" t="s">
        <v>264</v>
      </c>
      <c r="F78" s="172"/>
      <c r="G78" s="82"/>
      <c r="H78" s="82"/>
      <c r="I78" s="82"/>
      <c r="J78" s="82"/>
      <c r="K78" s="72"/>
      <c r="L78" s="251"/>
      <c r="M78" s="347">
        <v>750000</v>
      </c>
      <c r="N78" s="266">
        <f>SUM(M78+50000)</f>
        <v>800000</v>
      </c>
      <c r="O78" s="579"/>
      <c r="P78" s="82"/>
      <c r="Q78" s="82"/>
      <c r="R78" s="684"/>
      <c r="S78" s="180"/>
      <c r="U78" s="172"/>
      <c r="V78" s="172"/>
    </row>
    <row r="79" spans="1:22" s="34" customFormat="1" ht="20.25" customHeight="1" x14ac:dyDescent="0.15">
      <c r="A79" s="169">
        <v>3</v>
      </c>
      <c r="B79" s="24" t="s">
        <v>257</v>
      </c>
      <c r="C79" s="24" t="s">
        <v>271</v>
      </c>
      <c r="D79" s="296">
        <v>30859</v>
      </c>
      <c r="E79" s="264" t="s">
        <v>266</v>
      </c>
      <c r="F79" s="172"/>
      <c r="G79" s="82"/>
      <c r="H79" s="82"/>
      <c r="I79" s="82"/>
      <c r="J79" s="82"/>
      <c r="K79" s="72"/>
      <c r="L79" s="251"/>
      <c r="M79" s="347">
        <v>1150000</v>
      </c>
      <c r="N79" s="266">
        <f t="shared" ref="N79:O93" si="6">SUM(M79+50000)</f>
        <v>1200000</v>
      </c>
      <c r="O79" s="579"/>
      <c r="P79" s="82"/>
      <c r="Q79" s="82"/>
      <c r="R79" s="684"/>
      <c r="S79" s="180"/>
      <c r="U79" s="172"/>
      <c r="V79" s="172"/>
    </row>
    <row r="80" spans="1:22" s="34" customFormat="1" ht="20.25" customHeight="1" x14ac:dyDescent="0.15">
      <c r="A80" s="169">
        <v>4</v>
      </c>
      <c r="B80" s="24" t="s">
        <v>257</v>
      </c>
      <c r="C80" s="24" t="s">
        <v>271</v>
      </c>
      <c r="D80" s="296">
        <v>30860</v>
      </c>
      <c r="E80" s="264" t="s">
        <v>404</v>
      </c>
      <c r="F80" s="172"/>
      <c r="G80" s="82"/>
      <c r="H80" s="82"/>
      <c r="I80" s="82"/>
      <c r="J80" s="82"/>
      <c r="K80" s="72"/>
      <c r="L80" s="251"/>
      <c r="M80" s="347">
        <v>1150000</v>
      </c>
      <c r="N80" s="266">
        <f t="shared" si="6"/>
        <v>1200000</v>
      </c>
      <c r="O80" s="579"/>
      <c r="P80" s="82"/>
      <c r="Q80" s="82"/>
      <c r="R80" s="684"/>
      <c r="S80" s="180"/>
      <c r="U80" s="172"/>
      <c r="V80" s="172"/>
    </row>
    <row r="81" spans="1:22" s="34" customFormat="1" ht="20.25" customHeight="1" x14ac:dyDescent="0.15">
      <c r="A81" s="169">
        <v>5</v>
      </c>
      <c r="B81" s="24" t="s">
        <v>257</v>
      </c>
      <c r="C81" s="24" t="s">
        <v>271</v>
      </c>
      <c r="D81" s="296">
        <v>30861</v>
      </c>
      <c r="E81" s="264" t="s">
        <v>267</v>
      </c>
      <c r="F81" s="172"/>
      <c r="G81" s="82"/>
      <c r="H81" s="82"/>
      <c r="I81" s="82"/>
      <c r="J81" s="82"/>
      <c r="K81" s="72"/>
      <c r="L81" s="251"/>
      <c r="M81" s="347">
        <v>1150000</v>
      </c>
      <c r="N81" s="266">
        <f t="shared" si="6"/>
        <v>1200000</v>
      </c>
      <c r="O81" s="579"/>
      <c r="P81" s="82"/>
      <c r="Q81" s="82"/>
      <c r="R81" s="684"/>
      <c r="S81" s="180"/>
      <c r="U81" s="172"/>
      <c r="V81" s="172"/>
    </row>
    <row r="82" spans="1:22" s="34" customFormat="1" ht="20.25" customHeight="1" x14ac:dyDescent="0.15">
      <c r="A82" s="169">
        <v>6</v>
      </c>
      <c r="B82" s="24" t="s">
        <v>257</v>
      </c>
      <c r="C82" s="24" t="s">
        <v>271</v>
      </c>
      <c r="D82" s="296">
        <v>30862</v>
      </c>
      <c r="E82" s="264" t="s">
        <v>265</v>
      </c>
      <c r="F82" s="172"/>
      <c r="G82" s="82"/>
      <c r="H82" s="82"/>
      <c r="I82" s="82"/>
      <c r="J82" s="82"/>
      <c r="K82" s="72"/>
      <c r="L82" s="251"/>
      <c r="M82" s="347">
        <v>1150000</v>
      </c>
      <c r="N82" s="266">
        <f t="shared" si="6"/>
        <v>1200000</v>
      </c>
      <c r="O82" s="579"/>
      <c r="P82" s="82"/>
      <c r="Q82" s="82"/>
      <c r="R82" s="684"/>
      <c r="S82" s="180"/>
      <c r="U82" s="172"/>
      <c r="V82" s="172"/>
    </row>
    <row r="83" spans="1:22" s="34" customFormat="1" ht="20.25" customHeight="1" x14ac:dyDescent="0.15">
      <c r="A83" s="169">
        <v>7</v>
      </c>
      <c r="B83" s="24" t="s">
        <v>257</v>
      </c>
      <c r="C83" s="24" t="s">
        <v>271</v>
      </c>
      <c r="D83" s="296">
        <v>30863</v>
      </c>
      <c r="E83" s="264" t="s">
        <v>405</v>
      </c>
      <c r="F83" s="172"/>
      <c r="G83" s="82"/>
      <c r="H83" s="82"/>
      <c r="I83" s="82"/>
      <c r="J83" s="82"/>
      <c r="K83" s="72"/>
      <c r="L83" s="251"/>
      <c r="M83" s="347">
        <v>1150000</v>
      </c>
      <c r="N83" s="266">
        <f t="shared" si="6"/>
        <v>1200000</v>
      </c>
      <c r="O83" s="579"/>
      <c r="P83" s="82"/>
      <c r="Q83" s="82"/>
      <c r="R83" s="684"/>
      <c r="S83" s="180"/>
      <c r="U83" s="172"/>
      <c r="V83" s="172"/>
    </row>
    <row r="84" spans="1:22" s="34" customFormat="1" ht="20.25" customHeight="1" x14ac:dyDescent="0.15">
      <c r="A84" s="169">
        <v>8</v>
      </c>
      <c r="B84" s="24" t="s">
        <v>257</v>
      </c>
      <c r="C84" s="24" t="s">
        <v>271</v>
      </c>
      <c r="D84" s="296">
        <v>30864</v>
      </c>
      <c r="E84" s="264" t="s">
        <v>406</v>
      </c>
      <c r="F84" s="172"/>
      <c r="G84" s="82"/>
      <c r="H84" s="82"/>
      <c r="I84" s="82"/>
      <c r="J84" s="82"/>
      <c r="K84" s="72"/>
      <c r="L84" s="251"/>
      <c r="M84" s="347">
        <v>1150000</v>
      </c>
      <c r="N84" s="266">
        <f t="shared" si="6"/>
        <v>1200000</v>
      </c>
      <c r="O84" s="579"/>
      <c r="P84" s="82"/>
      <c r="Q84" s="82"/>
      <c r="R84" s="684"/>
      <c r="S84" s="180"/>
      <c r="U84" s="172"/>
      <c r="V84" s="172"/>
    </row>
    <row r="85" spans="1:22" s="34" customFormat="1" ht="20.25" customHeight="1" x14ac:dyDescent="0.15">
      <c r="A85" s="169">
        <v>9</v>
      </c>
      <c r="B85" s="24" t="s">
        <v>257</v>
      </c>
      <c r="C85" s="24" t="s">
        <v>271</v>
      </c>
      <c r="D85" s="296">
        <v>30865</v>
      </c>
      <c r="E85" s="264" t="s">
        <v>407</v>
      </c>
      <c r="F85" s="172"/>
      <c r="G85" s="82"/>
      <c r="H85" s="82"/>
      <c r="I85" s="82"/>
      <c r="J85" s="82"/>
      <c r="K85" s="72"/>
      <c r="L85" s="251"/>
      <c r="M85" s="347">
        <v>1150000</v>
      </c>
      <c r="N85" s="266">
        <f t="shared" si="6"/>
        <v>1200000</v>
      </c>
      <c r="O85" s="579"/>
      <c r="P85" s="82"/>
      <c r="Q85" s="82"/>
      <c r="R85" s="684"/>
      <c r="S85" s="180"/>
      <c r="U85" s="172"/>
      <c r="V85" s="172"/>
    </row>
    <row r="86" spans="1:22" s="34" customFormat="1" ht="20.25" customHeight="1" x14ac:dyDescent="0.15">
      <c r="A86" s="169">
        <v>10</v>
      </c>
      <c r="B86" s="24" t="s">
        <v>257</v>
      </c>
      <c r="C86" s="24" t="s">
        <v>271</v>
      </c>
      <c r="D86" s="296">
        <v>30866</v>
      </c>
      <c r="E86" s="204" t="s">
        <v>262</v>
      </c>
      <c r="F86" s="172"/>
      <c r="G86" s="82"/>
      <c r="H86" s="82"/>
      <c r="I86" s="82"/>
      <c r="J86" s="82"/>
      <c r="K86" s="72"/>
      <c r="L86" s="251"/>
      <c r="M86" s="347">
        <v>750000</v>
      </c>
      <c r="N86" s="266">
        <f t="shared" si="6"/>
        <v>800000</v>
      </c>
      <c r="O86" s="579"/>
      <c r="P86" s="82"/>
      <c r="Q86" s="82"/>
      <c r="R86" s="684"/>
      <c r="S86" s="180"/>
      <c r="U86" s="172"/>
      <c r="V86" s="172"/>
    </row>
    <row r="87" spans="1:22" s="34" customFormat="1" ht="20.25" customHeight="1" x14ac:dyDescent="0.15">
      <c r="A87" s="169">
        <v>11</v>
      </c>
      <c r="B87" s="24" t="s">
        <v>257</v>
      </c>
      <c r="C87" s="24" t="s">
        <v>271</v>
      </c>
      <c r="D87" s="296">
        <v>30867</v>
      </c>
      <c r="E87" s="204" t="s">
        <v>408</v>
      </c>
      <c r="F87" s="172"/>
      <c r="G87" s="82"/>
      <c r="H87" s="82"/>
      <c r="I87" s="82"/>
      <c r="J87" s="82"/>
      <c r="K87" s="72"/>
      <c r="L87" s="251"/>
      <c r="M87" s="347">
        <v>750000</v>
      </c>
      <c r="N87" s="266">
        <f t="shared" si="6"/>
        <v>800000</v>
      </c>
      <c r="O87" s="579"/>
      <c r="P87" s="82"/>
      <c r="Q87" s="82"/>
      <c r="R87" s="684"/>
      <c r="S87" s="180"/>
      <c r="U87" s="172"/>
      <c r="V87" s="172"/>
    </row>
    <row r="88" spans="1:22" s="34" customFormat="1" ht="20.25" customHeight="1" x14ac:dyDescent="0.15">
      <c r="A88" s="169">
        <v>12</v>
      </c>
      <c r="B88" s="24" t="s">
        <v>257</v>
      </c>
      <c r="C88" s="24" t="s">
        <v>271</v>
      </c>
      <c r="D88" s="296">
        <v>30868</v>
      </c>
      <c r="E88" s="265" t="s">
        <v>409</v>
      </c>
      <c r="F88" s="172"/>
      <c r="G88" s="82"/>
      <c r="H88" s="82"/>
      <c r="I88" s="82"/>
      <c r="J88" s="82"/>
      <c r="K88" s="72"/>
      <c r="L88" s="251"/>
      <c r="M88" s="347">
        <v>1150000</v>
      </c>
      <c r="N88" s="266">
        <f t="shared" si="6"/>
        <v>1200000</v>
      </c>
      <c r="O88" s="579"/>
      <c r="P88" s="82"/>
      <c r="Q88" s="82"/>
      <c r="R88" s="684"/>
      <c r="S88" s="180"/>
      <c r="U88" s="172"/>
      <c r="V88" s="172"/>
    </row>
    <row r="89" spans="1:22" s="34" customFormat="1" ht="20.25" customHeight="1" x14ac:dyDescent="0.15">
      <c r="A89" s="169">
        <v>13</v>
      </c>
      <c r="B89" s="24" t="s">
        <v>257</v>
      </c>
      <c r="C89" s="24" t="s">
        <v>271</v>
      </c>
      <c r="D89" s="296">
        <v>30869</v>
      </c>
      <c r="E89" s="204" t="s">
        <v>260</v>
      </c>
      <c r="F89" s="172"/>
      <c r="G89" s="82"/>
      <c r="H89" s="82"/>
      <c r="I89" s="82"/>
      <c r="J89" s="82"/>
      <c r="K89" s="72"/>
      <c r="L89" s="251"/>
      <c r="M89" s="347">
        <v>700000</v>
      </c>
      <c r="N89" s="266">
        <f t="shared" si="6"/>
        <v>750000</v>
      </c>
      <c r="O89" s="579"/>
      <c r="P89" s="82"/>
      <c r="Q89" s="82"/>
      <c r="R89" s="684"/>
      <c r="S89" s="180"/>
      <c r="U89" s="172"/>
      <c r="V89" s="172"/>
    </row>
    <row r="90" spans="1:22" s="34" customFormat="1" ht="20.25" customHeight="1" x14ac:dyDescent="0.15">
      <c r="A90" s="169">
        <v>14</v>
      </c>
      <c r="B90" s="24" t="s">
        <v>257</v>
      </c>
      <c r="C90" s="24" t="s">
        <v>271</v>
      </c>
      <c r="D90" s="296">
        <v>30870</v>
      </c>
      <c r="E90" s="301" t="s">
        <v>431</v>
      </c>
      <c r="F90" s="172"/>
      <c r="G90" s="82"/>
      <c r="H90" s="82"/>
      <c r="I90" s="82"/>
      <c r="J90" s="82"/>
      <c r="K90" s="72"/>
      <c r="L90" s="251"/>
      <c r="M90" s="347">
        <v>1150000</v>
      </c>
      <c r="N90" s="266">
        <f t="shared" si="6"/>
        <v>1200000</v>
      </c>
      <c r="O90" s="579"/>
      <c r="P90" s="82"/>
      <c r="Q90" s="82"/>
      <c r="R90" s="684"/>
      <c r="S90" s="180"/>
      <c r="U90" s="172"/>
      <c r="V90" s="172"/>
    </row>
    <row r="91" spans="1:22" s="635" customFormat="1" ht="20.25" customHeight="1" x14ac:dyDescent="0.15">
      <c r="A91" s="629">
        <v>15</v>
      </c>
      <c r="B91" s="630" t="s">
        <v>257</v>
      </c>
      <c r="C91" s="630" t="s">
        <v>271</v>
      </c>
      <c r="D91" s="639">
        <v>30871</v>
      </c>
      <c r="E91" s="640" t="s">
        <v>433</v>
      </c>
      <c r="F91" s="636"/>
      <c r="G91" s="633"/>
      <c r="H91" s="633"/>
      <c r="I91" s="633"/>
      <c r="J91" s="633"/>
      <c r="K91" s="641"/>
      <c r="L91" s="641"/>
      <c r="M91" s="642">
        <v>1150000</v>
      </c>
      <c r="N91" s="642">
        <f t="shared" si="6"/>
        <v>1200000</v>
      </c>
      <c r="O91" s="643"/>
      <c r="P91" s="633"/>
      <c r="Q91" s="633"/>
      <c r="R91" s="686"/>
      <c r="S91" s="634"/>
      <c r="U91" s="636"/>
      <c r="V91" s="636"/>
    </row>
    <row r="92" spans="1:22" s="34" customFormat="1" ht="20.25" customHeight="1" x14ac:dyDescent="0.15">
      <c r="A92" s="169">
        <v>16</v>
      </c>
      <c r="B92" s="24" t="s">
        <v>257</v>
      </c>
      <c r="C92" s="24" t="s">
        <v>271</v>
      </c>
      <c r="D92" s="296">
        <v>30872</v>
      </c>
      <c r="E92" s="30" t="s">
        <v>434</v>
      </c>
      <c r="F92" s="172"/>
      <c r="G92" s="82"/>
      <c r="H92" s="82"/>
      <c r="I92" s="82"/>
      <c r="J92" s="82"/>
      <c r="K92" s="72"/>
      <c r="L92" s="251"/>
      <c r="M92" s="347">
        <v>950000</v>
      </c>
      <c r="N92" s="266">
        <f t="shared" si="6"/>
        <v>1000000</v>
      </c>
      <c r="O92" s="579"/>
      <c r="P92" s="82"/>
      <c r="Q92" s="82"/>
      <c r="R92" s="684"/>
      <c r="S92" s="180"/>
      <c r="U92" s="172"/>
      <c r="V92" s="172"/>
    </row>
    <row r="93" spans="1:22" s="34" customFormat="1" ht="20.25" customHeight="1" x14ac:dyDescent="0.15">
      <c r="A93" s="169">
        <v>17</v>
      </c>
      <c r="B93" s="24" t="s">
        <v>257</v>
      </c>
      <c r="C93" s="24" t="s">
        <v>271</v>
      </c>
      <c r="D93" s="296">
        <v>30873</v>
      </c>
      <c r="E93" s="30" t="s">
        <v>445</v>
      </c>
      <c r="F93" s="172"/>
      <c r="G93" s="82"/>
      <c r="H93" s="82"/>
      <c r="I93" s="82"/>
      <c r="J93" s="82"/>
      <c r="K93" s="72"/>
      <c r="L93" s="251"/>
      <c r="M93" s="347">
        <v>1150000</v>
      </c>
      <c r="N93" s="266">
        <f t="shared" si="6"/>
        <v>1200000</v>
      </c>
      <c r="O93" s="579"/>
      <c r="P93" s="82"/>
      <c r="Q93" s="82"/>
      <c r="R93" s="684"/>
      <c r="S93" s="180"/>
      <c r="U93" s="172"/>
      <c r="V93" s="172"/>
    </row>
    <row r="94" spans="1:22" s="34" customFormat="1" ht="20.25" customHeight="1" x14ac:dyDescent="0.2">
      <c r="A94" s="169"/>
      <c r="B94" s="172"/>
      <c r="C94" s="172"/>
      <c r="D94" s="165"/>
      <c r="E94" s="172"/>
      <c r="F94" s="172"/>
      <c r="G94" s="82"/>
      <c r="H94" s="82"/>
      <c r="I94" s="82"/>
      <c r="J94" s="82"/>
      <c r="K94" s="72"/>
      <c r="L94" s="251"/>
      <c r="M94" s="72"/>
      <c r="N94" s="261"/>
      <c r="O94" s="429"/>
      <c r="P94" s="82"/>
      <c r="Q94" s="181"/>
      <c r="S94" s="180"/>
      <c r="U94" s="172"/>
      <c r="V94" s="172"/>
    </row>
    <row r="95" spans="1:22" s="13" customFormat="1" ht="20.25" customHeight="1" x14ac:dyDescent="0.2">
      <c r="A95" s="217"/>
      <c r="B95" s="209"/>
      <c r="C95" s="209"/>
      <c r="D95" s="338"/>
      <c r="F95" s="185"/>
      <c r="G95" s="170"/>
      <c r="H95" s="170"/>
      <c r="I95" s="74"/>
      <c r="J95" s="170"/>
      <c r="K95" s="73"/>
      <c r="L95" s="73"/>
      <c r="M95" s="450">
        <f>SUM(M77:M94)</f>
        <v>17700000</v>
      </c>
      <c r="N95" s="450"/>
      <c r="O95" s="450"/>
      <c r="P95" s="186"/>
      <c r="Q95" s="185"/>
      <c r="S95" s="14"/>
      <c r="U95" s="168"/>
      <c r="V95" s="168"/>
    </row>
    <row r="96" spans="1:22" s="52" customFormat="1" ht="20.25" customHeight="1" x14ac:dyDescent="0.2">
      <c r="A96" s="707">
        <v>1</v>
      </c>
      <c r="B96" s="63" t="s">
        <v>257</v>
      </c>
      <c r="C96" s="708" t="s">
        <v>256</v>
      </c>
      <c r="D96" s="709">
        <v>30811</v>
      </c>
      <c r="E96" s="710" t="s">
        <v>370</v>
      </c>
      <c r="F96" s="711"/>
      <c r="G96" s="712"/>
      <c r="H96" s="712"/>
      <c r="I96" s="713"/>
      <c r="J96" s="714"/>
      <c r="K96" s="715"/>
      <c r="L96" s="717">
        <v>345000</v>
      </c>
      <c r="M96" s="720">
        <f>SUM(L96+50000)</f>
        <v>395000</v>
      </c>
      <c r="N96" s="720">
        <f t="shared" ref="N96:O96" si="7">SUM(M96+50000)</f>
        <v>445000</v>
      </c>
      <c r="O96" s="720">
        <f t="shared" si="7"/>
        <v>495000</v>
      </c>
      <c r="P96" s="666"/>
      <c r="Q96" s="666"/>
      <c r="R96" s="716"/>
      <c r="S96" s="184"/>
      <c r="U96" s="667" t="str">
        <f t="shared" ref="U96:U124" si="8">"1"&amp;D96</f>
        <v>130811</v>
      </c>
      <c r="V96" s="667" t="str">
        <f t="shared" ref="V96:V124" si="9">"2"&amp;D96</f>
        <v>230811</v>
      </c>
    </row>
    <row r="97" spans="1:22" s="34" customFormat="1" ht="20.25" customHeight="1" x14ac:dyDescent="0.2">
      <c r="A97" s="169">
        <v>2</v>
      </c>
      <c r="B97" s="24" t="s">
        <v>257</v>
      </c>
      <c r="C97" s="451" t="s">
        <v>256</v>
      </c>
      <c r="D97" s="453">
        <v>30812</v>
      </c>
      <c r="E97" s="368" t="s">
        <v>369</v>
      </c>
      <c r="F97" s="85"/>
      <c r="G97" s="84"/>
      <c r="H97" s="84"/>
      <c r="I97" s="128"/>
      <c r="J97" s="182"/>
      <c r="K97" s="191"/>
      <c r="L97" s="253">
        <v>700000</v>
      </c>
      <c r="M97" s="348">
        <f t="shared" ref="M97:M123" si="10">SUM(L97+50000)</f>
        <v>750000</v>
      </c>
      <c r="N97" s="718">
        <f>SUM(M97+50000)</f>
        <v>800000</v>
      </c>
      <c r="O97" s="719">
        <f>SUM(N97*12/10)</f>
        <v>960000</v>
      </c>
      <c r="P97" s="82"/>
      <c r="Q97" s="82"/>
      <c r="R97" s="684"/>
      <c r="S97" s="180"/>
      <c r="U97" s="172" t="str">
        <f t="shared" si="8"/>
        <v>130812</v>
      </c>
      <c r="V97" s="172" t="str">
        <f t="shared" si="9"/>
        <v>230812</v>
      </c>
    </row>
    <row r="98" spans="1:22" s="34" customFormat="1" ht="20.25" customHeight="1" x14ac:dyDescent="0.2">
      <c r="A98" s="169">
        <v>3</v>
      </c>
      <c r="B98" s="24" t="s">
        <v>257</v>
      </c>
      <c r="C98" s="451" t="s">
        <v>256</v>
      </c>
      <c r="D98" s="452">
        <v>30813</v>
      </c>
      <c r="E98" s="368" t="s">
        <v>368</v>
      </c>
      <c r="F98" s="85"/>
      <c r="G98" s="84"/>
      <c r="H98" s="84"/>
      <c r="I98" s="128"/>
      <c r="J98" s="182"/>
      <c r="K98" s="195"/>
      <c r="L98" s="254">
        <v>1150000</v>
      </c>
      <c r="M98" s="348">
        <f t="shared" si="10"/>
        <v>1200000</v>
      </c>
      <c r="N98" s="586">
        <f t="shared" ref="N98:N123" si="11">SUM(M98+50000)</f>
        <v>1250000</v>
      </c>
      <c r="O98" s="580">
        <f t="shared" ref="O98:O123" si="12">SUM(N98*12/10)</f>
        <v>1500000</v>
      </c>
      <c r="P98" s="82"/>
      <c r="Q98" s="82"/>
      <c r="R98" s="684"/>
      <c r="S98" s="180"/>
      <c r="U98" s="172" t="str">
        <f t="shared" si="8"/>
        <v>130813</v>
      </c>
      <c r="V98" s="172" t="str">
        <f t="shared" si="9"/>
        <v>230813</v>
      </c>
    </row>
    <row r="99" spans="1:22" s="34" customFormat="1" ht="20.25" customHeight="1" x14ac:dyDescent="0.2">
      <c r="A99" s="169">
        <v>4</v>
      </c>
      <c r="B99" s="24" t="s">
        <v>257</v>
      </c>
      <c r="C99" s="451" t="s">
        <v>256</v>
      </c>
      <c r="D99" s="453">
        <v>30814</v>
      </c>
      <c r="E99" s="368" t="s">
        <v>367</v>
      </c>
      <c r="F99" s="85"/>
      <c r="G99" s="84"/>
      <c r="H99" s="84"/>
      <c r="I99" s="128"/>
      <c r="J99" s="182"/>
      <c r="K99" s="195"/>
      <c r="L99" s="254">
        <v>1150000</v>
      </c>
      <c r="M99" s="348">
        <f t="shared" si="10"/>
        <v>1200000</v>
      </c>
      <c r="N99" s="586">
        <f t="shared" si="11"/>
        <v>1250000</v>
      </c>
      <c r="O99" s="580">
        <f t="shared" si="12"/>
        <v>1500000</v>
      </c>
      <c r="P99" s="82"/>
      <c r="Q99" s="82"/>
      <c r="R99" s="684"/>
      <c r="S99" s="180"/>
      <c r="U99" s="172" t="str">
        <f t="shared" si="8"/>
        <v>130814</v>
      </c>
      <c r="V99" s="172" t="str">
        <f t="shared" si="9"/>
        <v>230814</v>
      </c>
    </row>
    <row r="100" spans="1:22" s="34" customFormat="1" ht="20.25" customHeight="1" x14ac:dyDescent="0.2">
      <c r="A100" s="169">
        <v>5</v>
      </c>
      <c r="B100" s="24" t="s">
        <v>257</v>
      </c>
      <c r="C100" s="451" t="s">
        <v>256</v>
      </c>
      <c r="D100" s="453">
        <v>30816</v>
      </c>
      <c r="E100" s="368" t="s">
        <v>366</v>
      </c>
      <c r="F100" s="85"/>
      <c r="G100" s="84"/>
      <c r="H100" s="84"/>
      <c r="I100" s="128"/>
      <c r="J100" s="182"/>
      <c r="K100" s="195"/>
      <c r="L100" s="254">
        <v>1150000</v>
      </c>
      <c r="M100" s="348">
        <f t="shared" si="10"/>
        <v>1200000</v>
      </c>
      <c r="N100" s="586">
        <f t="shared" si="11"/>
        <v>1250000</v>
      </c>
      <c r="O100" s="580">
        <f t="shared" si="12"/>
        <v>1500000</v>
      </c>
      <c r="P100" s="82"/>
      <c r="Q100" s="82"/>
      <c r="R100" s="684"/>
      <c r="S100" s="180"/>
      <c r="U100" s="172" t="str">
        <f t="shared" si="8"/>
        <v>130816</v>
      </c>
      <c r="V100" s="172" t="str">
        <f t="shared" si="9"/>
        <v>230816</v>
      </c>
    </row>
    <row r="101" spans="1:22" s="34" customFormat="1" ht="20.25" customHeight="1" x14ac:dyDescent="0.2">
      <c r="A101" s="169">
        <v>6</v>
      </c>
      <c r="B101" s="24" t="s">
        <v>257</v>
      </c>
      <c r="C101" s="451" t="s">
        <v>256</v>
      </c>
      <c r="D101" s="452">
        <v>30817</v>
      </c>
      <c r="E101" s="368" t="s">
        <v>365</v>
      </c>
      <c r="F101" s="85"/>
      <c r="G101" s="84"/>
      <c r="H101" s="84"/>
      <c r="I101" s="128"/>
      <c r="J101" s="182"/>
      <c r="K101" s="195"/>
      <c r="L101" s="254">
        <v>1150000</v>
      </c>
      <c r="M101" s="348">
        <f t="shared" si="10"/>
        <v>1200000</v>
      </c>
      <c r="N101" s="586">
        <f t="shared" si="11"/>
        <v>1250000</v>
      </c>
      <c r="O101" s="580">
        <f t="shared" si="12"/>
        <v>1500000</v>
      </c>
      <c r="P101" s="82"/>
      <c r="Q101" s="82"/>
      <c r="R101" s="684"/>
      <c r="S101" s="180"/>
      <c r="U101" s="172" t="str">
        <f t="shared" si="8"/>
        <v>130817</v>
      </c>
      <c r="V101" s="172" t="str">
        <f t="shared" si="9"/>
        <v>230817</v>
      </c>
    </row>
    <row r="102" spans="1:22" s="34" customFormat="1" ht="20.25" customHeight="1" x14ac:dyDescent="0.2">
      <c r="A102" s="169">
        <v>7</v>
      </c>
      <c r="B102" s="24" t="s">
        <v>257</v>
      </c>
      <c r="C102" s="451" t="s">
        <v>256</v>
      </c>
      <c r="D102" s="453">
        <v>30818</v>
      </c>
      <c r="E102" s="368" t="s">
        <v>364</v>
      </c>
      <c r="F102" s="85"/>
      <c r="G102" s="84"/>
      <c r="H102" s="84"/>
      <c r="I102" s="128"/>
      <c r="J102" s="182"/>
      <c r="K102" s="195"/>
      <c r="L102" s="254">
        <v>1150000</v>
      </c>
      <c r="M102" s="348">
        <f t="shared" si="10"/>
        <v>1200000</v>
      </c>
      <c r="N102" s="586">
        <f t="shared" si="11"/>
        <v>1250000</v>
      </c>
      <c r="O102" s="580">
        <f t="shared" si="12"/>
        <v>1500000</v>
      </c>
      <c r="P102" s="82"/>
      <c r="Q102" s="82"/>
      <c r="R102" s="684"/>
      <c r="S102" s="180"/>
      <c r="U102" s="172" t="str">
        <f t="shared" si="8"/>
        <v>130818</v>
      </c>
      <c r="V102" s="172" t="str">
        <f t="shared" si="9"/>
        <v>230818</v>
      </c>
    </row>
    <row r="103" spans="1:22" s="34" customFormat="1" ht="20.25" customHeight="1" x14ac:dyDescent="0.2">
      <c r="A103" s="169">
        <v>8</v>
      </c>
      <c r="B103" s="24" t="s">
        <v>257</v>
      </c>
      <c r="C103" s="451" t="s">
        <v>256</v>
      </c>
      <c r="D103" s="452">
        <v>30819</v>
      </c>
      <c r="E103" s="368" t="s">
        <v>363</v>
      </c>
      <c r="F103" s="85"/>
      <c r="G103" s="84"/>
      <c r="H103" s="84"/>
      <c r="I103" s="128"/>
      <c r="J103" s="182"/>
      <c r="K103" s="195"/>
      <c r="L103" s="254">
        <v>1150000</v>
      </c>
      <c r="M103" s="348">
        <f t="shared" si="10"/>
        <v>1200000</v>
      </c>
      <c r="N103" s="586">
        <f t="shared" si="11"/>
        <v>1250000</v>
      </c>
      <c r="O103" s="580">
        <f t="shared" si="12"/>
        <v>1500000</v>
      </c>
      <c r="P103" s="82"/>
      <c r="Q103" s="82"/>
      <c r="R103" s="684"/>
      <c r="S103" s="180"/>
      <c r="U103" s="172" t="str">
        <f t="shared" si="8"/>
        <v>130819</v>
      </c>
      <c r="V103" s="172" t="str">
        <f t="shared" si="9"/>
        <v>230819</v>
      </c>
    </row>
    <row r="104" spans="1:22" s="34" customFormat="1" ht="20.25" customHeight="1" x14ac:dyDescent="0.2">
      <c r="A104" s="169">
        <v>9</v>
      </c>
      <c r="B104" s="24" t="s">
        <v>257</v>
      </c>
      <c r="C104" s="451" t="s">
        <v>256</v>
      </c>
      <c r="D104" s="453">
        <v>30820</v>
      </c>
      <c r="E104" s="368" t="s">
        <v>362</v>
      </c>
      <c r="F104" s="85"/>
      <c r="G104" s="84"/>
      <c r="H104" s="84"/>
      <c r="I104" s="128"/>
      <c r="J104" s="182"/>
      <c r="K104" s="195"/>
      <c r="L104" s="254">
        <v>1150000</v>
      </c>
      <c r="M104" s="348">
        <f t="shared" si="10"/>
        <v>1200000</v>
      </c>
      <c r="N104" s="586">
        <f t="shared" si="11"/>
        <v>1250000</v>
      </c>
      <c r="O104" s="580">
        <f t="shared" si="12"/>
        <v>1500000</v>
      </c>
      <c r="P104" s="82"/>
      <c r="Q104" s="82"/>
      <c r="R104" s="684"/>
      <c r="S104" s="180"/>
      <c r="U104" s="172" t="str">
        <f t="shared" si="8"/>
        <v>130820</v>
      </c>
      <c r="V104" s="172" t="str">
        <f t="shared" si="9"/>
        <v>230820</v>
      </c>
    </row>
    <row r="105" spans="1:22" s="34" customFormat="1" ht="20.25" customHeight="1" x14ac:dyDescent="0.2">
      <c r="A105" s="169">
        <v>10</v>
      </c>
      <c r="B105" s="24" t="s">
        <v>257</v>
      </c>
      <c r="C105" s="451" t="s">
        <v>256</v>
      </c>
      <c r="D105" s="452">
        <v>30821</v>
      </c>
      <c r="E105" s="368" t="s">
        <v>361</v>
      </c>
      <c r="F105" s="85"/>
      <c r="G105" s="84"/>
      <c r="H105" s="84"/>
      <c r="I105" s="128"/>
      <c r="J105" s="182"/>
      <c r="K105" s="195"/>
      <c r="L105" s="254">
        <v>1150000</v>
      </c>
      <c r="M105" s="348">
        <f t="shared" si="10"/>
        <v>1200000</v>
      </c>
      <c r="N105" s="586">
        <f t="shared" si="11"/>
        <v>1250000</v>
      </c>
      <c r="O105" s="580">
        <f t="shared" si="12"/>
        <v>1500000</v>
      </c>
      <c r="P105" s="82"/>
      <c r="Q105" s="82"/>
      <c r="R105" s="684"/>
      <c r="S105" s="180"/>
      <c r="U105" s="172" t="str">
        <f t="shared" si="8"/>
        <v>130821</v>
      </c>
      <c r="V105" s="172" t="str">
        <f t="shared" si="9"/>
        <v>230821</v>
      </c>
    </row>
    <row r="106" spans="1:22" s="34" customFormat="1" ht="20.25" customHeight="1" x14ac:dyDescent="0.2">
      <c r="A106" s="169">
        <v>11</v>
      </c>
      <c r="B106" s="24" t="s">
        <v>257</v>
      </c>
      <c r="C106" s="451" t="s">
        <v>256</v>
      </c>
      <c r="D106" s="453">
        <v>30822</v>
      </c>
      <c r="E106" s="368" t="s">
        <v>360</v>
      </c>
      <c r="F106" s="85"/>
      <c r="G106" s="84"/>
      <c r="H106" s="84"/>
      <c r="I106" s="128"/>
      <c r="J106" s="182"/>
      <c r="K106" s="195"/>
      <c r="L106" s="254">
        <v>1150000</v>
      </c>
      <c r="M106" s="348">
        <f t="shared" si="10"/>
        <v>1200000</v>
      </c>
      <c r="N106" s="586">
        <f t="shared" si="11"/>
        <v>1250000</v>
      </c>
      <c r="O106" s="580">
        <f t="shared" si="12"/>
        <v>1500000</v>
      </c>
      <c r="P106" s="82"/>
      <c r="Q106" s="82"/>
      <c r="R106" s="684"/>
      <c r="S106" s="180"/>
      <c r="U106" s="172" t="str">
        <f t="shared" si="8"/>
        <v>130822</v>
      </c>
      <c r="V106" s="172" t="str">
        <f t="shared" si="9"/>
        <v>230822</v>
      </c>
    </row>
    <row r="107" spans="1:22" s="34" customFormat="1" ht="20.25" customHeight="1" x14ac:dyDescent="0.2">
      <c r="A107" s="169">
        <v>12</v>
      </c>
      <c r="B107" s="24" t="s">
        <v>257</v>
      </c>
      <c r="C107" s="451" t="s">
        <v>256</v>
      </c>
      <c r="D107" s="452">
        <v>30823</v>
      </c>
      <c r="E107" s="368" t="s">
        <v>359</v>
      </c>
      <c r="F107" s="85"/>
      <c r="G107" s="84"/>
      <c r="H107" s="84"/>
      <c r="I107" s="128"/>
      <c r="J107" s="182"/>
      <c r="K107" s="195"/>
      <c r="L107" s="254">
        <v>1150000</v>
      </c>
      <c r="M107" s="348">
        <f t="shared" si="10"/>
        <v>1200000</v>
      </c>
      <c r="N107" s="586">
        <f t="shared" si="11"/>
        <v>1250000</v>
      </c>
      <c r="O107" s="580">
        <f t="shared" si="12"/>
        <v>1500000</v>
      </c>
      <c r="P107" s="82"/>
      <c r="Q107" s="82"/>
      <c r="R107" s="684"/>
      <c r="S107" s="180"/>
      <c r="U107" s="172" t="str">
        <f t="shared" si="8"/>
        <v>130823</v>
      </c>
      <c r="V107" s="172" t="str">
        <f t="shared" si="9"/>
        <v>230823</v>
      </c>
    </row>
    <row r="108" spans="1:22" s="34" customFormat="1" ht="20.25" customHeight="1" x14ac:dyDescent="0.2">
      <c r="A108" s="169">
        <v>13</v>
      </c>
      <c r="B108" s="24" t="s">
        <v>257</v>
      </c>
      <c r="C108" s="451" t="s">
        <v>256</v>
      </c>
      <c r="D108" s="453">
        <v>30824</v>
      </c>
      <c r="E108" s="368" t="s">
        <v>358</v>
      </c>
      <c r="F108" s="85"/>
      <c r="G108" s="84"/>
      <c r="H108" s="84"/>
      <c r="I108" s="128"/>
      <c r="J108" s="182"/>
      <c r="K108" s="196"/>
      <c r="L108" s="252">
        <v>1150000</v>
      </c>
      <c r="M108" s="348">
        <f t="shared" si="10"/>
        <v>1200000</v>
      </c>
      <c r="N108" s="586">
        <f t="shared" si="11"/>
        <v>1250000</v>
      </c>
      <c r="O108" s="580">
        <f t="shared" si="12"/>
        <v>1500000</v>
      </c>
      <c r="P108" s="82"/>
      <c r="Q108" s="82"/>
      <c r="R108" s="684"/>
      <c r="S108" s="180"/>
      <c r="U108" s="172" t="str">
        <f t="shared" si="8"/>
        <v>130824</v>
      </c>
      <c r="V108" s="172" t="str">
        <f t="shared" si="9"/>
        <v>230824</v>
      </c>
    </row>
    <row r="109" spans="1:22" s="34" customFormat="1" ht="20.25" customHeight="1" x14ac:dyDescent="0.2">
      <c r="A109" s="169">
        <v>14</v>
      </c>
      <c r="B109" s="24" t="s">
        <v>257</v>
      </c>
      <c r="C109" s="451" t="s">
        <v>256</v>
      </c>
      <c r="D109" s="453">
        <v>30826</v>
      </c>
      <c r="E109" s="454" t="s">
        <v>357</v>
      </c>
      <c r="F109" s="85"/>
      <c r="G109" s="84"/>
      <c r="H109" s="84"/>
      <c r="I109" s="128"/>
      <c r="J109" s="182"/>
      <c r="K109" s="195"/>
      <c r="L109" s="254">
        <v>1150000</v>
      </c>
      <c r="M109" s="348">
        <f t="shared" si="10"/>
        <v>1200000</v>
      </c>
      <c r="N109" s="586">
        <f t="shared" si="11"/>
        <v>1250000</v>
      </c>
      <c r="O109" s="580">
        <f t="shared" si="12"/>
        <v>1500000</v>
      </c>
      <c r="P109" s="82"/>
      <c r="Q109" s="82"/>
      <c r="R109" s="684"/>
      <c r="S109" s="180"/>
      <c r="U109" s="172" t="str">
        <f t="shared" si="8"/>
        <v>130826</v>
      </c>
      <c r="V109" s="172" t="str">
        <f t="shared" si="9"/>
        <v>230826</v>
      </c>
    </row>
    <row r="110" spans="1:22" s="34" customFormat="1" ht="20.25" customHeight="1" x14ac:dyDescent="0.2">
      <c r="A110" s="169">
        <v>15</v>
      </c>
      <c r="B110" s="24" t="s">
        <v>257</v>
      </c>
      <c r="C110" s="451" t="s">
        <v>256</v>
      </c>
      <c r="D110" s="452">
        <v>30827</v>
      </c>
      <c r="E110" s="368" t="s">
        <v>356</v>
      </c>
      <c r="F110" s="85"/>
      <c r="G110" s="84"/>
      <c r="H110" s="84"/>
      <c r="I110" s="128"/>
      <c r="J110" s="182"/>
      <c r="K110" s="195"/>
      <c r="L110" s="254">
        <v>1150000</v>
      </c>
      <c r="M110" s="348">
        <f t="shared" si="10"/>
        <v>1200000</v>
      </c>
      <c r="N110" s="586">
        <f t="shared" si="11"/>
        <v>1250000</v>
      </c>
      <c r="O110" s="580">
        <f t="shared" si="12"/>
        <v>1500000</v>
      </c>
      <c r="P110" s="82"/>
      <c r="Q110" s="82"/>
      <c r="R110" s="684"/>
      <c r="S110" s="180"/>
      <c r="U110" s="172" t="str">
        <f t="shared" si="8"/>
        <v>130827</v>
      </c>
      <c r="V110" s="172" t="str">
        <f t="shared" si="9"/>
        <v>230827</v>
      </c>
    </row>
    <row r="111" spans="1:22" s="34" customFormat="1" ht="20.25" customHeight="1" x14ac:dyDescent="0.2">
      <c r="A111" s="169">
        <v>16</v>
      </c>
      <c r="B111" s="24" t="s">
        <v>257</v>
      </c>
      <c r="C111" s="451" t="s">
        <v>256</v>
      </c>
      <c r="D111" s="453">
        <v>30828</v>
      </c>
      <c r="E111" s="368" t="s">
        <v>355</v>
      </c>
      <c r="F111" s="85"/>
      <c r="G111" s="84"/>
      <c r="H111" s="84"/>
      <c r="I111" s="128"/>
      <c r="J111" s="182"/>
      <c r="K111" s="194"/>
      <c r="L111" s="255">
        <v>345000</v>
      </c>
      <c r="M111" s="348">
        <f t="shared" si="10"/>
        <v>395000</v>
      </c>
      <c r="N111" s="586">
        <f t="shared" si="11"/>
        <v>445000</v>
      </c>
      <c r="O111" s="580">
        <f t="shared" si="12"/>
        <v>534000</v>
      </c>
      <c r="P111" s="82"/>
      <c r="Q111" s="82"/>
      <c r="R111" s="684"/>
      <c r="S111" s="180"/>
      <c r="U111" s="172" t="str">
        <f t="shared" si="8"/>
        <v>130828</v>
      </c>
      <c r="V111" s="172" t="str">
        <f t="shared" si="9"/>
        <v>230828</v>
      </c>
    </row>
    <row r="112" spans="1:22" s="34" customFormat="1" ht="20.25" customHeight="1" x14ac:dyDescent="0.2">
      <c r="A112" s="169">
        <v>17</v>
      </c>
      <c r="B112" s="24" t="s">
        <v>257</v>
      </c>
      <c r="C112" s="451" t="s">
        <v>256</v>
      </c>
      <c r="D112" s="452">
        <v>30829</v>
      </c>
      <c r="E112" s="368" t="s">
        <v>354</v>
      </c>
      <c r="F112" s="85"/>
      <c r="G112" s="84"/>
      <c r="H112" s="84"/>
      <c r="I112" s="128"/>
      <c r="J112" s="182"/>
      <c r="K112" s="195"/>
      <c r="L112" s="254">
        <v>1150000</v>
      </c>
      <c r="M112" s="348">
        <f t="shared" si="10"/>
        <v>1200000</v>
      </c>
      <c r="N112" s="586">
        <f t="shared" si="11"/>
        <v>1250000</v>
      </c>
      <c r="O112" s="580">
        <f t="shared" si="12"/>
        <v>1500000</v>
      </c>
      <c r="P112" s="82"/>
      <c r="Q112" s="82"/>
      <c r="R112" s="684"/>
      <c r="S112" s="180"/>
      <c r="U112" s="172" t="str">
        <f t="shared" si="8"/>
        <v>130829</v>
      </c>
      <c r="V112" s="172" t="str">
        <f t="shared" si="9"/>
        <v>230829</v>
      </c>
    </row>
    <row r="113" spans="1:22" s="34" customFormat="1" ht="20.25" customHeight="1" x14ac:dyDescent="0.2">
      <c r="A113" s="169">
        <v>18</v>
      </c>
      <c r="B113" s="24" t="s">
        <v>257</v>
      </c>
      <c r="C113" s="451" t="s">
        <v>256</v>
      </c>
      <c r="D113" s="453">
        <v>30830</v>
      </c>
      <c r="E113" s="368" t="s">
        <v>353</v>
      </c>
      <c r="F113" s="85"/>
      <c r="G113" s="84"/>
      <c r="H113" s="84"/>
      <c r="I113" s="128"/>
      <c r="J113" s="182"/>
      <c r="K113" s="191"/>
      <c r="L113" s="253">
        <v>1150000</v>
      </c>
      <c r="M113" s="348">
        <f t="shared" si="10"/>
        <v>1200000</v>
      </c>
      <c r="N113" s="586">
        <f t="shared" si="11"/>
        <v>1250000</v>
      </c>
      <c r="O113" s="580">
        <f t="shared" si="12"/>
        <v>1500000</v>
      </c>
      <c r="P113" s="82"/>
      <c r="Q113" s="82"/>
      <c r="R113" s="684"/>
      <c r="S113" s="180"/>
      <c r="U113" s="172" t="str">
        <f t="shared" si="8"/>
        <v>130830</v>
      </c>
      <c r="V113" s="172" t="str">
        <f t="shared" si="9"/>
        <v>230830</v>
      </c>
    </row>
    <row r="114" spans="1:22" s="34" customFormat="1" ht="20.25" customHeight="1" x14ac:dyDescent="0.2">
      <c r="A114" s="169">
        <v>19</v>
      </c>
      <c r="B114" s="24" t="s">
        <v>257</v>
      </c>
      <c r="C114" s="451" t="s">
        <v>256</v>
      </c>
      <c r="D114" s="452">
        <v>30831</v>
      </c>
      <c r="E114" s="368" t="s">
        <v>352</v>
      </c>
      <c r="F114" s="85"/>
      <c r="G114" s="84"/>
      <c r="H114" s="84"/>
      <c r="I114" s="128"/>
      <c r="J114" s="182"/>
      <c r="K114" s="259"/>
      <c r="L114" s="259">
        <v>700000</v>
      </c>
      <c r="M114" s="348">
        <f t="shared" si="10"/>
        <v>750000</v>
      </c>
      <c r="N114" s="637">
        <f t="shared" si="11"/>
        <v>800000</v>
      </c>
      <c r="O114" s="638">
        <f t="shared" si="12"/>
        <v>960000</v>
      </c>
      <c r="P114" s="82"/>
      <c r="Q114" s="82"/>
      <c r="R114" s="684"/>
      <c r="S114" s="23"/>
      <c r="U114" s="172" t="str">
        <f t="shared" si="8"/>
        <v>130831</v>
      </c>
      <c r="V114" s="172" t="str">
        <f t="shared" si="9"/>
        <v>230831</v>
      </c>
    </row>
    <row r="115" spans="1:22" s="34" customFormat="1" ht="20.25" customHeight="1" x14ac:dyDescent="0.2">
      <c r="A115" s="169">
        <v>20</v>
      </c>
      <c r="B115" s="24" t="s">
        <v>257</v>
      </c>
      <c r="C115" s="451" t="s">
        <v>256</v>
      </c>
      <c r="D115" s="453">
        <v>30832</v>
      </c>
      <c r="E115" s="368" t="s">
        <v>351</v>
      </c>
      <c r="F115" s="85"/>
      <c r="G115" s="84"/>
      <c r="H115" s="84"/>
      <c r="I115" s="128"/>
      <c r="J115" s="182"/>
      <c r="K115" s="194"/>
      <c r="L115" s="255">
        <v>1150000</v>
      </c>
      <c r="M115" s="348">
        <f t="shared" si="10"/>
        <v>1200000</v>
      </c>
      <c r="N115" s="586">
        <f t="shared" si="11"/>
        <v>1250000</v>
      </c>
      <c r="O115" s="580">
        <f t="shared" si="12"/>
        <v>1500000</v>
      </c>
      <c r="P115" s="82"/>
      <c r="Q115" s="82"/>
      <c r="R115" s="684"/>
      <c r="S115" s="180"/>
      <c r="U115" s="172" t="str">
        <f t="shared" si="8"/>
        <v>130832</v>
      </c>
      <c r="V115" s="172" t="str">
        <f t="shared" si="9"/>
        <v>230832</v>
      </c>
    </row>
    <row r="116" spans="1:22" s="34" customFormat="1" ht="20.25" customHeight="1" x14ac:dyDescent="0.2">
      <c r="A116" s="169">
        <v>21</v>
      </c>
      <c r="B116" s="24" t="s">
        <v>257</v>
      </c>
      <c r="C116" s="451" t="s">
        <v>256</v>
      </c>
      <c r="D116" s="452">
        <v>30833</v>
      </c>
      <c r="E116" s="368" t="s">
        <v>350</v>
      </c>
      <c r="F116" s="85"/>
      <c r="G116" s="84"/>
      <c r="H116" s="84"/>
      <c r="I116" s="128"/>
      <c r="J116" s="182"/>
      <c r="K116" s="194"/>
      <c r="L116" s="255">
        <v>1150000</v>
      </c>
      <c r="M116" s="348">
        <f t="shared" si="10"/>
        <v>1200000</v>
      </c>
      <c r="N116" s="586">
        <f t="shared" si="11"/>
        <v>1250000</v>
      </c>
      <c r="O116" s="580">
        <f t="shared" si="12"/>
        <v>1500000</v>
      </c>
      <c r="P116" s="82"/>
      <c r="Q116" s="82"/>
      <c r="R116" s="684"/>
      <c r="S116" s="180"/>
      <c r="U116" s="172" t="str">
        <f t="shared" si="8"/>
        <v>130833</v>
      </c>
      <c r="V116" s="172" t="str">
        <f t="shared" si="9"/>
        <v>230833</v>
      </c>
    </row>
    <row r="117" spans="1:22" s="34" customFormat="1" ht="20.25" customHeight="1" x14ac:dyDescent="0.2">
      <c r="A117" s="169">
        <v>22</v>
      </c>
      <c r="B117" s="24" t="s">
        <v>257</v>
      </c>
      <c r="C117" s="451" t="s">
        <v>256</v>
      </c>
      <c r="D117" s="453">
        <v>30834</v>
      </c>
      <c r="E117" s="368" t="s">
        <v>349</v>
      </c>
      <c r="F117" s="85"/>
      <c r="G117" s="84"/>
      <c r="H117" s="84"/>
      <c r="I117" s="128"/>
      <c r="J117" s="182"/>
      <c r="K117" s="194"/>
      <c r="L117" s="255">
        <v>700000</v>
      </c>
      <c r="M117" s="348">
        <f t="shared" si="10"/>
        <v>750000</v>
      </c>
      <c r="N117" s="586">
        <f t="shared" si="11"/>
        <v>800000</v>
      </c>
      <c r="O117" s="580">
        <f t="shared" si="12"/>
        <v>960000</v>
      </c>
      <c r="P117" s="82"/>
      <c r="Q117" s="82"/>
      <c r="R117" s="684"/>
      <c r="S117" s="180"/>
      <c r="U117" s="172" t="str">
        <f t="shared" si="8"/>
        <v>130834</v>
      </c>
      <c r="V117" s="172" t="str">
        <f t="shared" si="9"/>
        <v>230834</v>
      </c>
    </row>
    <row r="118" spans="1:22" s="34" customFormat="1" ht="20.25" customHeight="1" x14ac:dyDescent="0.2">
      <c r="A118" s="169">
        <v>23</v>
      </c>
      <c r="B118" s="24" t="s">
        <v>257</v>
      </c>
      <c r="C118" s="451" t="s">
        <v>256</v>
      </c>
      <c r="D118" s="452">
        <v>30835</v>
      </c>
      <c r="E118" s="368" t="s">
        <v>348</v>
      </c>
      <c r="F118" s="85"/>
      <c r="G118" s="84"/>
      <c r="H118" s="84"/>
      <c r="I118" s="128"/>
      <c r="J118" s="182"/>
      <c r="K118" s="260"/>
      <c r="L118" s="259">
        <v>750000</v>
      </c>
      <c r="M118" s="348">
        <f t="shared" si="10"/>
        <v>800000</v>
      </c>
      <c r="N118" s="586">
        <f t="shared" si="11"/>
        <v>850000</v>
      </c>
      <c r="O118" s="580">
        <f t="shared" si="12"/>
        <v>1020000</v>
      </c>
      <c r="P118" s="82"/>
      <c r="Q118" s="82"/>
      <c r="R118" s="684"/>
      <c r="S118" s="180"/>
      <c r="U118" s="172" t="str">
        <f t="shared" si="8"/>
        <v>130835</v>
      </c>
      <c r="V118" s="172" t="str">
        <f t="shared" si="9"/>
        <v>230835</v>
      </c>
    </row>
    <row r="119" spans="1:22" s="34" customFormat="1" ht="20.25" customHeight="1" x14ac:dyDescent="0.2">
      <c r="A119" s="169">
        <v>24</v>
      </c>
      <c r="B119" s="24" t="s">
        <v>257</v>
      </c>
      <c r="C119" s="451" t="s">
        <v>256</v>
      </c>
      <c r="D119" s="453">
        <v>30836</v>
      </c>
      <c r="E119" s="368" t="s">
        <v>347</v>
      </c>
      <c r="F119" s="85"/>
      <c r="G119" s="84"/>
      <c r="H119" s="84"/>
      <c r="I119" s="128"/>
      <c r="J119" s="182"/>
      <c r="K119" s="191"/>
      <c r="L119" s="253">
        <v>850000</v>
      </c>
      <c r="M119" s="348">
        <f t="shared" si="10"/>
        <v>900000</v>
      </c>
      <c r="N119" s="586">
        <f t="shared" si="11"/>
        <v>950000</v>
      </c>
      <c r="O119" s="580">
        <f t="shared" si="12"/>
        <v>1140000</v>
      </c>
      <c r="P119" s="82"/>
      <c r="Q119" s="82"/>
      <c r="R119" s="684"/>
      <c r="S119" s="180"/>
      <c r="U119" s="172" t="str">
        <f t="shared" si="8"/>
        <v>130836</v>
      </c>
      <c r="V119" s="172" t="str">
        <f t="shared" si="9"/>
        <v>230836</v>
      </c>
    </row>
    <row r="120" spans="1:22" s="34" customFormat="1" ht="20.25" customHeight="1" x14ac:dyDescent="0.2">
      <c r="A120" s="169">
        <v>25</v>
      </c>
      <c r="B120" s="24" t="s">
        <v>257</v>
      </c>
      <c r="C120" s="451" t="s">
        <v>256</v>
      </c>
      <c r="D120" s="455">
        <v>30852</v>
      </c>
      <c r="E120" s="368" t="s">
        <v>346</v>
      </c>
      <c r="F120" s="85"/>
      <c r="G120" s="84"/>
      <c r="H120" s="84"/>
      <c r="I120" s="128"/>
      <c r="J120" s="182"/>
      <c r="K120" s="191"/>
      <c r="L120" s="253">
        <v>700000</v>
      </c>
      <c r="M120" s="348">
        <f t="shared" si="10"/>
        <v>750000</v>
      </c>
      <c r="N120" s="586">
        <f t="shared" si="11"/>
        <v>800000</v>
      </c>
      <c r="O120" s="580">
        <f t="shared" si="12"/>
        <v>960000</v>
      </c>
      <c r="P120" s="82"/>
      <c r="Q120" s="82"/>
      <c r="R120" s="684"/>
      <c r="S120" s="180"/>
      <c r="U120" s="172" t="str">
        <f t="shared" si="8"/>
        <v>130852</v>
      </c>
      <c r="V120" s="172" t="str">
        <f t="shared" si="9"/>
        <v>230852</v>
      </c>
    </row>
    <row r="121" spans="1:22" s="34" customFormat="1" ht="20.25" customHeight="1" x14ac:dyDescent="0.2">
      <c r="A121" s="169">
        <v>26</v>
      </c>
      <c r="B121" s="24" t="s">
        <v>257</v>
      </c>
      <c r="C121" s="451" t="s">
        <v>256</v>
      </c>
      <c r="D121" s="455">
        <v>30854</v>
      </c>
      <c r="E121" s="368" t="s">
        <v>345</v>
      </c>
      <c r="F121" s="85"/>
      <c r="G121" s="84"/>
      <c r="H121" s="84"/>
      <c r="I121" s="128"/>
      <c r="J121" s="182"/>
      <c r="K121" s="191"/>
      <c r="L121" s="253">
        <v>1150000</v>
      </c>
      <c r="M121" s="348">
        <f t="shared" si="10"/>
        <v>1200000</v>
      </c>
      <c r="N121" s="586">
        <f t="shared" si="11"/>
        <v>1250000</v>
      </c>
      <c r="O121" s="580">
        <f t="shared" si="12"/>
        <v>1500000</v>
      </c>
      <c r="P121" s="82"/>
      <c r="Q121" s="82"/>
      <c r="R121" s="684"/>
      <c r="S121" s="180"/>
      <c r="U121" s="172" t="str">
        <f t="shared" si="8"/>
        <v>130854</v>
      </c>
      <c r="V121" s="172" t="str">
        <f t="shared" si="9"/>
        <v>230854</v>
      </c>
    </row>
    <row r="122" spans="1:22" s="34" customFormat="1" ht="20.25" customHeight="1" x14ac:dyDescent="0.2">
      <c r="A122" s="169">
        <v>27</v>
      </c>
      <c r="B122" s="24" t="s">
        <v>257</v>
      </c>
      <c r="C122" s="451" t="s">
        <v>256</v>
      </c>
      <c r="D122" s="455">
        <v>30855</v>
      </c>
      <c r="E122" s="368" t="s">
        <v>344</v>
      </c>
      <c r="F122" s="85"/>
      <c r="G122" s="84"/>
      <c r="H122" s="84"/>
      <c r="I122" s="128"/>
      <c r="J122" s="182"/>
      <c r="K122" s="191"/>
      <c r="L122" s="253">
        <v>1150000</v>
      </c>
      <c r="M122" s="348">
        <f t="shared" si="10"/>
        <v>1200000</v>
      </c>
      <c r="N122" s="586">
        <f t="shared" si="11"/>
        <v>1250000</v>
      </c>
      <c r="O122" s="580">
        <f t="shared" si="12"/>
        <v>1500000</v>
      </c>
      <c r="P122" s="82"/>
      <c r="Q122" s="82"/>
      <c r="R122" s="684"/>
      <c r="S122" s="180"/>
      <c r="U122" s="172" t="str">
        <f t="shared" si="8"/>
        <v>130855</v>
      </c>
      <c r="V122" s="172" t="str">
        <f t="shared" si="9"/>
        <v>230855</v>
      </c>
    </row>
    <row r="123" spans="1:22" s="34" customFormat="1" ht="20.25" customHeight="1" x14ac:dyDescent="0.2">
      <c r="A123" s="169">
        <v>28</v>
      </c>
      <c r="B123" s="24" t="s">
        <v>257</v>
      </c>
      <c r="C123" s="451" t="s">
        <v>256</v>
      </c>
      <c r="D123" s="455">
        <v>30856</v>
      </c>
      <c r="E123" s="368" t="s">
        <v>342</v>
      </c>
      <c r="F123" s="85"/>
      <c r="G123" s="84"/>
      <c r="H123" s="84"/>
      <c r="I123" s="128"/>
      <c r="J123" s="182"/>
      <c r="K123" s="191"/>
      <c r="L123" s="253">
        <v>1150000</v>
      </c>
      <c r="M123" s="348">
        <f t="shared" si="10"/>
        <v>1200000</v>
      </c>
      <c r="N123" s="586">
        <f t="shared" si="11"/>
        <v>1250000</v>
      </c>
      <c r="O123" s="580">
        <f t="shared" si="12"/>
        <v>1500000</v>
      </c>
      <c r="P123" s="82"/>
      <c r="Q123" s="82"/>
      <c r="R123" s="684"/>
      <c r="S123" s="180"/>
      <c r="U123" s="172" t="str">
        <f t="shared" si="8"/>
        <v>130856</v>
      </c>
      <c r="V123" s="172" t="str">
        <f t="shared" si="9"/>
        <v>230856</v>
      </c>
    </row>
    <row r="124" spans="1:22" s="34" customFormat="1" ht="20.25" customHeight="1" x14ac:dyDescent="0.2">
      <c r="A124" s="169"/>
      <c r="B124" s="24"/>
      <c r="C124" s="24"/>
      <c r="D124" s="193"/>
      <c r="E124" s="192"/>
      <c r="F124" s="85"/>
      <c r="G124" s="84"/>
      <c r="H124" s="84"/>
      <c r="I124" s="128"/>
      <c r="J124" s="182"/>
      <c r="K124" s="191"/>
      <c r="L124" s="253"/>
      <c r="M124" s="348"/>
      <c r="N124" s="586"/>
      <c r="O124" s="580"/>
      <c r="P124" s="82"/>
      <c r="Q124" s="181"/>
      <c r="S124" s="180"/>
      <c r="U124" s="172" t="str">
        <f t="shared" si="8"/>
        <v>1</v>
      </c>
      <c r="V124" s="172" t="str">
        <f t="shared" si="9"/>
        <v>2</v>
      </c>
    </row>
    <row r="125" spans="1:22" s="13" customFormat="1" ht="20.25" customHeight="1" x14ac:dyDescent="0.2">
      <c r="A125" s="190"/>
      <c r="B125" s="15"/>
      <c r="C125" s="15"/>
      <c r="D125" s="78"/>
      <c r="E125" s="189"/>
      <c r="F125" s="76"/>
      <c r="G125" s="75"/>
      <c r="H125" s="75"/>
      <c r="I125" s="123"/>
      <c r="J125" s="188"/>
      <c r="K125" s="187"/>
      <c r="L125" s="257"/>
      <c r="M125" s="311">
        <f>SUM(M96:M124)</f>
        <v>29490000</v>
      </c>
      <c r="N125" s="587"/>
      <c r="O125" s="574"/>
      <c r="P125" s="284"/>
      <c r="Q125" s="185"/>
      <c r="S125" s="14"/>
    </row>
  </sheetData>
  <phoneticPr fontId="24" type="noConversion"/>
  <pageMargins left="0.19685039370078741" right="0.15748031496062992" top="0.39370078740157483" bottom="0.19685039370078741" header="0.27559055118110237" footer="0.43307086614173229"/>
  <pageSetup paperSize="120" fitToHeight="2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D415-4355-4735-A2CC-CEA9E3C9EB4C}">
  <dimension ref="B2:I11"/>
  <sheetViews>
    <sheetView workbookViewId="0">
      <selection activeCell="E12" sqref="E12"/>
    </sheetView>
  </sheetViews>
  <sheetFormatPr baseColWidth="10" defaultColWidth="8.83203125" defaultRowHeight="15" x14ac:dyDescent="0.2"/>
  <cols>
    <col min="2" max="2" width="6.1640625" customWidth="1"/>
    <col min="3" max="3" width="8.83203125" customWidth="1"/>
    <col min="5" max="5" width="33.6640625" customWidth="1"/>
    <col min="6" max="6" width="17.5" customWidth="1"/>
    <col min="7" max="7" width="17.33203125" customWidth="1"/>
    <col min="8" max="8" width="18.6640625" customWidth="1"/>
    <col min="9" max="9" width="20.33203125" customWidth="1"/>
    <col min="10" max="10" width="13.5" customWidth="1"/>
  </cols>
  <sheetData>
    <row r="2" spans="2:9" ht="19" x14ac:dyDescent="0.25">
      <c r="B2" s="725" t="s">
        <v>392</v>
      </c>
      <c r="C2" s="725"/>
      <c r="D2" s="725"/>
      <c r="E2" s="725"/>
      <c r="F2" s="725"/>
      <c r="G2" s="228"/>
      <c r="H2" s="227"/>
    </row>
    <row r="3" spans="2:9" ht="19" x14ac:dyDescent="0.25">
      <c r="B3" s="226"/>
      <c r="C3" s="226"/>
      <c r="D3" s="226"/>
      <c r="E3" s="226"/>
      <c r="F3" s="226"/>
      <c r="G3" s="226"/>
    </row>
    <row r="4" spans="2:9" ht="48.75" customHeight="1" x14ac:dyDescent="0.2">
      <c r="B4" s="225" t="s">
        <v>253</v>
      </c>
      <c r="C4" s="225" t="s">
        <v>391</v>
      </c>
      <c r="D4" s="225" t="s">
        <v>390</v>
      </c>
      <c r="E4" s="225" t="s">
        <v>389</v>
      </c>
      <c r="F4" s="225" t="s">
        <v>451</v>
      </c>
      <c r="G4" s="225" t="s">
        <v>400</v>
      </c>
      <c r="H4" s="225" t="s">
        <v>239</v>
      </c>
      <c r="I4" s="225" t="s">
        <v>508</v>
      </c>
    </row>
    <row r="5" spans="2:9" ht="20.25" customHeight="1" x14ac:dyDescent="0.2">
      <c r="B5" s="222">
        <v>1</v>
      </c>
      <c r="C5" s="221" t="s">
        <v>449</v>
      </c>
      <c r="D5" s="224" t="s">
        <v>19</v>
      </c>
      <c r="E5" s="110" t="s">
        <v>18</v>
      </c>
      <c r="F5" s="220">
        <v>1050000</v>
      </c>
      <c r="G5" s="220">
        <f t="shared" ref="G5:G7" si="0">SUM(F5*30%)</f>
        <v>315000</v>
      </c>
      <c r="H5" s="598"/>
      <c r="I5" s="67"/>
    </row>
    <row r="6" spans="2:9" ht="20.25" customHeight="1" x14ac:dyDescent="0.2">
      <c r="B6" s="222">
        <v>2</v>
      </c>
      <c r="C6" s="221" t="s">
        <v>449</v>
      </c>
      <c r="D6" s="223" t="s">
        <v>17</v>
      </c>
      <c r="E6" s="110" t="s">
        <v>16</v>
      </c>
      <c r="F6" s="220">
        <v>1050000</v>
      </c>
      <c r="G6" s="220">
        <f t="shared" si="0"/>
        <v>315000</v>
      </c>
      <c r="H6" s="598"/>
      <c r="I6" s="67"/>
    </row>
    <row r="7" spans="2:9" ht="20.25" customHeight="1" x14ac:dyDescent="0.2">
      <c r="B7" s="222">
        <v>3</v>
      </c>
      <c r="C7" s="221" t="s">
        <v>450</v>
      </c>
      <c r="D7" s="597">
        <v>30811</v>
      </c>
      <c r="E7" s="37" t="s">
        <v>370</v>
      </c>
      <c r="F7" s="220">
        <v>1200000</v>
      </c>
      <c r="G7" s="220">
        <f t="shared" si="0"/>
        <v>360000</v>
      </c>
      <c r="H7" s="303"/>
      <c r="I7" s="67"/>
    </row>
    <row r="11" spans="2:9" x14ac:dyDescent="0.2">
      <c r="G11" s="599"/>
    </row>
  </sheetData>
  <mergeCells count="1">
    <mergeCell ref="B2:F2"/>
  </mergeCells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7FF0-4D4B-4986-BAD8-A414CE2FE0F9}">
  <dimension ref="B3:I21"/>
  <sheetViews>
    <sheetView topLeftCell="A5" workbookViewId="0">
      <selection activeCell="L16" sqref="L16"/>
    </sheetView>
  </sheetViews>
  <sheetFormatPr baseColWidth="10" defaultColWidth="8.83203125" defaultRowHeight="15" x14ac:dyDescent="0.2"/>
  <cols>
    <col min="2" max="2" width="13.6640625" customWidth="1"/>
    <col min="3" max="3" width="19.6640625" customWidth="1"/>
    <col min="5" max="5" width="13.6640625" customWidth="1"/>
    <col min="6" max="6" width="19.6640625" customWidth="1"/>
    <col min="8" max="8" width="11.1640625" customWidth="1"/>
    <col min="9" max="9" width="24.5" customWidth="1"/>
  </cols>
  <sheetData>
    <row r="3" spans="2:9" ht="16" x14ac:dyDescent="0.2">
      <c r="B3" s="726" t="s">
        <v>399</v>
      </c>
      <c r="C3" s="726"/>
      <c r="E3" s="726" t="s">
        <v>399</v>
      </c>
      <c r="F3" s="726"/>
      <c r="H3" s="726" t="s">
        <v>399</v>
      </c>
      <c r="I3" s="726"/>
    </row>
    <row r="4" spans="2:9" ht="16" x14ac:dyDescent="0.2">
      <c r="B4" s="726" t="s">
        <v>398</v>
      </c>
      <c r="C4" s="726"/>
      <c r="E4" s="726" t="s">
        <v>397</v>
      </c>
      <c r="F4" s="726"/>
      <c r="H4" s="726" t="s">
        <v>446</v>
      </c>
      <c r="I4" s="726"/>
    </row>
    <row r="6" spans="2:9" ht="24.75" customHeight="1" x14ac:dyDescent="0.2">
      <c r="B6" s="232" t="s">
        <v>251</v>
      </c>
      <c r="C6" s="232" t="s">
        <v>396</v>
      </c>
      <c r="E6" s="231" t="s">
        <v>251</v>
      </c>
      <c r="F6" s="231" t="s">
        <v>396</v>
      </c>
      <c r="H6" s="312" t="s">
        <v>251</v>
      </c>
      <c r="I6" s="312" t="s">
        <v>447</v>
      </c>
    </row>
    <row r="7" spans="2:9" ht="18" customHeight="1" x14ac:dyDescent="0.2">
      <c r="B7" s="39" t="s">
        <v>395</v>
      </c>
      <c r="C7" s="230">
        <v>6780000</v>
      </c>
      <c r="E7" s="39" t="s">
        <v>395</v>
      </c>
      <c r="F7" s="230">
        <v>12275000</v>
      </c>
      <c r="H7" s="39" t="s">
        <v>395</v>
      </c>
      <c r="I7" s="230">
        <v>7650000</v>
      </c>
    </row>
    <row r="8" spans="2:9" ht="18" customHeight="1" x14ac:dyDescent="0.2">
      <c r="B8" s="39" t="s">
        <v>394</v>
      </c>
      <c r="C8" s="230">
        <v>13200000</v>
      </c>
      <c r="E8" s="39" t="s">
        <v>394</v>
      </c>
      <c r="F8" s="230">
        <v>11910000</v>
      </c>
      <c r="H8" s="39" t="s">
        <v>394</v>
      </c>
      <c r="I8" s="230">
        <v>9100000</v>
      </c>
    </row>
    <row r="9" spans="2:9" ht="18" customHeight="1" x14ac:dyDescent="0.2">
      <c r="B9" s="39" t="s">
        <v>192</v>
      </c>
      <c r="C9" s="230">
        <v>21620000</v>
      </c>
      <c r="E9" s="39" t="s">
        <v>192</v>
      </c>
      <c r="F9" s="230">
        <v>21850000</v>
      </c>
      <c r="H9" s="39" t="s">
        <v>192</v>
      </c>
      <c r="I9" s="230">
        <v>14650000</v>
      </c>
    </row>
    <row r="10" spans="2:9" ht="18" customHeight="1" x14ac:dyDescent="0.2">
      <c r="B10" s="39" t="s">
        <v>118</v>
      </c>
      <c r="C10" s="230">
        <v>21940000</v>
      </c>
      <c r="E10" s="39" t="s">
        <v>118</v>
      </c>
      <c r="F10" s="230">
        <v>23870000</v>
      </c>
      <c r="H10" s="39" t="s">
        <v>118</v>
      </c>
      <c r="I10" s="230">
        <v>22125000</v>
      </c>
    </row>
    <row r="11" spans="2:9" ht="18" customHeight="1" x14ac:dyDescent="0.2">
      <c r="B11" s="39" t="s">
        <v>66</v>
      </c>
      <c r="C11" s="230">
        <v>35050000</v>
      </c>
      <c r="E11" s="39" t="s">
        <v>66</v>
      </c>
      <c r="F11" s="230">
        <v>20015000</v>
      </c>
      <c r="H11" s="39" t="s">
        <v>66</v>
      </c>
      <c r="I11" s="230">
        <v>33940000</v>
      </c>
    </row>
    <row r="12" spans="2:9" ht="18" customHeight="1" x14ac:dyDescent="0.2">
      <c r="B12" s="39" t="s">
        <v>5</v>
      </c>
      <c r="C12" s="230">
        <v>43090000</v>
      </c>
      <c r="E12" s="39" t="s">
        <v>5</v>
      </c>
      <c r="F12" s="230">
        <v>38050000</v>
      </c>
      <c r="H12" s="39" t="s">
        <v>5</v>
      </c>
      <c r="I12" s="230">
        <v>25775000</v>
      </c>
    </row>
    <row r="13" spans="2:9" ht="18" customHeight="1" x14ac:dyDescent="0.2">
      <c r="B13" s="39" t="s">
        <v>0</v>
      </c>
      <c r="C13" s="230">
        <v>36105000</v>
      </c>
      <c r="E13" s="39" t="s">
        <v>0</v>
      </c>
      <c r="F13" s="230">
        <v>46765000</v>
      </c>
      <c r="H13" s="39" t="s">
        <v>0</v>
      </c>
      <c r="I13" s="230">
        <v>27295000</v>
      </c>
    </row>
    <row r="14" spans="2:9" ht="18" customHeight="1" x14ac:dyDescent="0.2">
      <c r="B14" s="39" t="s">
        <v>261</v>
      </c>
      <c r="C14" s="230">
        <v>44905000</v>
      </c>
      <c r="E14" s="39" t="s">
        <v>261</v>
      </c>
      <c r="F14" s="230">
        <v>37955000</v>
      </c>
      <c r="H14" s="39" t="s">
        <v>261</v>
      </c>
      <c r="I14" s="230">
        <v>25115000</v>
      </c>
    </row>
    <row r="15" spans="2:9" ht="18" customHeight="1" x14ac:dyDescent="0.2">
      <c r="B15" s="39" t="s">
        <v>343</v>
      </c>
      <c r="C15" s="230">
        <v>26815000</v>
      </c>
      <c r="E15" s="39" t="s">
        <v>343</v>
      </c>
      <c r="F15" s="230">
        <v>39130000</v>
      </c>
      <c r="H15" s="39" t="s">
        <v>343</v>
      </c>
      <c r="I15" s="230">
        <v>17700000</v>
      </c>
    </row>
    <row r="16" spans="2:9" ht="18" customHeight="1" x14ac:dyDescent="0.2">
      <c r="B16" s="39" t="s">
        <v>271</v>
      </c>
      <c r="C16" s="230">
        <v>26465000</v>
      </c>
      <c r="E16" s="39" t="s">
        <v>271</v>
      </c>
      <c r="F16" s="230">
        <v>27215000</v>
      </c>
      <c r="H16" s="39" t="s">
        <v>271</v>
      </c>
      <c r="I16" s="230">
        <v>30690000</v>
      </c>
    </row>
    <row r="17" spans="2:9" ht="18" customHeight="1" x14ac:dyDescent="0.2">
      <c r="B17" s="39" t="s">
        <v>256</v>
      </c>
      <c r="C17" s="230">
        <v>47230000</v>
      </c>
      <c r="E17" s="39" t="s">
        <v>256</v>
      </c>
      <c r="F17" s="230">
        <v>29415000</v>
      </c>
      <c r="H17" s="39" t="s">
        <v>256</v>
      </c>
      <c r="I17" s="230">
        <v>40450000</v>
      </c>
    </row>
    <row r="18" spans="2:9" ht="18" customHeight="1" x14ac:dyDescent="0.2">
      <c r="B18" s="39" t="s">
        <v>373</v>
      </c>
      <c r="C18" s="230">
        <v>30200000</v>
      </c>
      <c r="E18" s="39" t="s">
        <v>373</v>
      </c>
      <c r="F18" s="230">
        <v>24530000</v>
      </c>
      <c r="H18" s="39" t="s">
        <v>373</v>
      </c>
      <c r="I18" s="230">
        <v>13650000</v>
      </c>
    </row>
    <row r="19" spans="2:9" ht="18" customHeight="1" x14ac:dyDescent="0.2">
      <c r="B19" s="39" t="s">
        <v>371</v>
      </c>
      <c r="C19" s="230">
        <v>32640000</v>
      </c>
      <c r="E19" s="39" t="s">
        <v>371</v>
      </c>
      <c r="F19" s="230">
        <v>32000000</v>
      </c>
      <c r="H19" s="39" t="s">
        <v>371</v>
      </c>
      <c r="I19" s="230">
        <v>17300000</v>
      </c>
    </row>
    <row r="20" spans="2:9" ht="18" customHeight="1" x14ac:dyDescent="0.2">
      <c r="B20" s="39" t="s">
        <v>254</v>
      </c>
      <c r="C20" s="230">
        <v>33280000</v>
      </c>
      <c r="E20" s="39" t="s">
        <v>254</v>
      </c>
      <c r="F20" s="230">
        <v>36140000</v>
      </c>
      <c r="H20" s="39" t="s">
        <v>254</v>
      </c>
      <c r="I20" s="230">
        <v>23000000</v>
      </c>
    </row>
    <row r="21" spans="2:9" ht="25.5" customHeight="1" x14ac:dyDescent="0.2">
      <c r="B21" s="225" t="s">
        <v>393</v>
      </c>
      <c r="C21" s="229">
        <f>SUM(C7:C20)</f>
        <v>419320000</v>
      </c>
      <c r="D21" s="3"/>
      <c r="E21" s="225" t="s">
        <v>393</v>
      </c>
      <c r="F21" s="229">
        <f>SUM(F7:F20)</f>
        <v>401120000</v>
      </c>
      <c r="H21" s="225" t="s">
        <v>393</v>
      </c>
      <c r="I21" s="229">
        <f>SUM(I7:I20)</f>
        <v>308440000</v>
      </c>
    </row>
  </sheetData>
  <mergeCells count="6">
    <mergeCell ref="B3:C3"/>
    <mergeCell ref="B4:C4"/>
    <mergeCell ref="E3:F3"/>
    <mergeCell ref="E4:F4"/>
    <mergeCell ref="H3:I3"/>
    <mergeCell ref="H4:I4"/>
  </mergeCells>
  <pageMargins left="0.16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69EB-1658-4108-8C45-4FA517EDCDCA}">
  <dimension ref="B2:G38"/>
  <sheetViews>
    <sheetView workbookViewId="0">
      <selection activeCell="L13" sqref="L13"/>
    </sheetView>
  </sheetViews>
  <sheetFormatPr baseColWidth="10" defaultColWidth="8.83203125" defaultRowHeight="15" x14ac:dyDescent="0.2"/>
  <cols>
    <col min="3" max="3" width="19.33203125" customWidth="1"/>
    <col min="5" max="5" width="11.6640625" customWidth="1"/>
    <col min="6" max="6" width="39.83203125" customWidth="1"/>
    <col min="7" max="7" width="13.5" customWidth="1"/>
  </cols>
  <sheetData>
    <row r="2" spans="2:7" ht="24" customHeight="1" x14ac:dyDescent="0.2">
      <c r="B2" s="306" t="s">
        <v>253</v>
      </c>
      <c r="C2" s="306" t="s">
        <v>252</v>
      </c>
      <c r="D2" s="172" t="s">
        <v>251</v>
      </c>
      <c r="E2" s="306" t="s">
        <v>250</v>
      </c>
      <c r="F2" s="306" t="s">
        <v>249</v>
      </c>
      <c r="G2" s="172" t="s">
        <v>268</v>
      </c>
    </row>
    <row r="3" spans="2:7" ht="18" customHeight="1" x14ac:dyDescent="0.2">
      <c r="B3" s="169">
        <v>1</v>
      </c>
      <c r="C3" s="24" t="s">
        <v>257</v>
      </c>
      <c r="D3" s="24" t="s">
        <v>256</v>
      </c>
      <c r="E3" s="165" t="s">
        <v>341</v>
      </c>
      <c r="F3" s="36" t="s">
        <v>340</v>
      </c>
      <c r="G3" s="307">
        <v>2000000</v>
      </c>
    </row>
    <row r="4" spans="2:7" ht="18" customHeight="1" x14ac:dyDescent="0.2">
      <c r="B4" s="169">
        <v>2</v>
      </c>
      <c r="C4" s="24" t="s">
        <v>257</v>
      </c>
      <c r="D4" s="24" t="s">
        <v>256</v>
      </c>
      <c r="E4" s="165" t="s">
        <v>339</v>
      </c>
      <c r="F4" s="36" t="s">
        <v>338</v>
      </c>
      <c r="G4" s="307">
        <v>2000000</v>
      </c>
    </row>
    <row r="5" spans="2:7" ht="18" customHeight="1" x14ac:dyDescent="0.2">
      <c r="B5" s="169">
        <v>3</v>
      </c>
      <c r="C5" s="24" t="s">
        <v>257</v>
      </c>
      <c r="D5" s="24" t="s">
        <v>256</v>
      </c>
      <c r="E5" s="165" t="s">
        <v>337</v>
      </c>
      <c r="F5" s="36" t="s">
        <v>336</v>
      </c>
      <c r="G5" s="307">
        <v>2000000</v>
      </c>
    </row>
    <row r="6" spans="2:7" ht="18" customHeight="1" x14ac:dyDescent="0.2">
      <c r="B6" s="169">
        <v>4</v>
      </c>
      <c r="C6" s="24" t="s">
        <v>257</v>
      </c>
      <c r="D6" s="24" t="s">
        <v>256</v>
      </c>
      <c r="E6" s="165" t="s">
        <v>335</v>
      </c>
      <c r="F6" s="36" t="s">
        <v>334</v>
      </c>
      <c r="G6" s="307">
        <v>2000000</v>
      </c>
    </row>
    <row r="7" spans="2:7" ht="18" customHeight="1" x14ac:dyDescent="0.2">
      <c r="B7" s="169">
        <v>5</v>
      </c>
      <c r="C7" s="24" t="s">
        <v>257</v>
      </c>
      <c r="D7" s="24" t="s">
        <v>256</v>
      </c>
      <c r="E7" s="165" t="s">
        <v>333</v>
      </c>
      <c r="F7" s="36" t="s">
        <v>332</v>
      </c>
      <c r="G7" s="307">
        <v>2000000</v>
      </c>
    </row>
    <row r="8" spans="2:7" ht="18" customHeight="1" x14ac:dyDescent="0.2">
      <c r="B8" s="169">
        <v>6</v>
      </c>
      <c r="C8" s="24" t="s">
        <v>257</v>
      </c>
      <c r="D8" s="24" t="s">
        <v>256</v>
      </c>
      <c r="E8" s="165" t="s">
        <v>331</v>
      </c>
      <c r="F8" s="36" t="s">
        <v>330</v>
      </c>
      <c r="G8" s="307">
        <v>2000000</v>
      </c>
    </row>
    <row r="9" spans="2:7" ht="18" customHeight="1" x14ac:dyDescent="0.2">
      <c r="B9" s="169">
        <v>7</v>
      </c>
      <c r="C9" s="24" t="s">
        <v>257</v>
      </c>
      <c r="D9" s="24" t="s">
        <v>256</v>
      </c>
      <c r="E9" s="165" t="s">
        <v>329</v>
      </c>
      <c r="F9" s="36" t="s">
        <v>328</v>
      </c>
      <c r="G9" s="307">
        <v>2000000</v>
      </c>
    </row>
    <row r="10" spans="2:7" ht="18" customHeight="1" x14ac:dyDescent="0.2">
      <c r="B10" s="169">
        <v>8</v>
      </c>
      <c r="C10" s="24" t="s">
        <v>257</v>
      </c>
      <c r="D10" s="24" t="s">
        <v>256</v>
      </c>
      <c r="E10" s="165" t="s">
        <v>327</v>
      </c>
      <c r="F10" s="36" t="s">
        <v>326</v>
      </c>
      <c r="G10" s="307">
        <v>2000000</v>
      </c>
    </row>
    <row r="11" spans="2:7" ht="18" customHeight="1" x14ac:dyDescent="0.2">
      <c r="B11" s="169">
        <v>9</v>
      </c>
      <c r="C11" s="24" t="s">
        <v>257</v>
      </c>
      <c r="D11" s="24" t="s">
        <v>256</v>
      </c>
      <c r="E11" s="165" t="s">
        <v>325</v>
      </c>
      <c r="F11" s="36" t="s">
        <v>324</v>
      </c>
      <c r="G11" s="307">
        <v>2000000</v>
      </c>
    </row>
    <row r="12" spans="2:7" ht="18" customHeight="1" x14ac:dyDescent="0.2">
      <c r="B12" s="169">
        <v>10</v>
      </c>
      <c r="C12" s="24" t="s">
        <v>257</v>
      </c>
      <c r="D12" s="24" t="s">
        <v>256</v>
      </c>
      <c r="E12" s="165" t="s">
        <v>323</v>
      </c>
      <c r="F12" s="36" t="s">
        <v>322</v>
      </c>
      <c r="G12" s="307">
        <v>2000000</v>
      </c>
    </row>
    <row r="13" spans="2:7" ht="18" customHeight="1" x14ac:dyDescent="0.2">
      <c r="B13" s="169">
        <v>11</v>
      </c>
      <c r="C13" s="24" t="s">
        <v>257</v>
      </c>
      <c r="D13" s="24" t="s">
        <v>256</v>
      </c>
      <c r="E13" s="165" t="s">
        <v>321</v>
      </c>
      <c r="F13" s="36" t="s">
        <v>320</v>
      </c>
      <c r="G13" s="307">
        <v>2000000</v>
      </c>
    </row>
    <row r="14" spans="2:7" ht="18" customHeight="1" x14ac:dyDescent="0.2">
      <c r="B14" s="169">
        <v>12</v>
      </c>
      <c r="C14" s="24" t="s">
        <v>257</v>
      </c>
      <c r="D14" s="24" t="s">
        <v>256</v>
      </c>
      <c r="E14" s="165" t="s">
        <v>319</v>
      </c>
      <c r="F14" s="36" t="s">
        <v>318</v>
      </c>
      <c r="G14" s="307">
        <v>2000000</v>
      </c>
    </row>
    <row r="15" spans="2:7" ht="18" customHeight="1" x14ac:dyDescent="0.2">
      <c r="B15" s="169">
        <v>13</v>
      </c>
      <c r="C15" s="24" t="s">
        <v>257</v>
      </c>
      <c r="D15" s="24" t="s">
        <v>256</v>
      </c>
      <c r="E15" s="165" t="s">
        <v>317</v>
      </c>
      <c r="F15" s="32" t="s">
        <v>316</v>
      </c>
      <c r="G15" s="307">
        <v>2000000</v>
      </c>
    </row>
    <row r="16" spans="2:7" ht="18" customHeight="1" x14ac:dyDescent="0.2">
      <c r="B16" s="169">
        <v>14</v>
      </c>
      <c r="C16" s="24" t="s">
        <v>257</v>
      </c>
      <c r="D16" s="24" t="s">
        <v>256</v>
      </c>
      <c r="E16" s="165" t="s">
        <v>315</v>
      </c>
      <c r="F16" s="36" t="s">
        <v>314</v>
      </c>
      <c r="G16" s="307">
        <v>2000000</v>
      </c>
    </row>
    <row r="17" spans="2:7" ht="18" customHeight="1" x14ac:dyDescent="0.2">
      <c r="B17" s="169">
        <v>15</v>
      </c>
      <c r="C17" s="24" t="s">
        <v>257</v>
      </c>
      <c r="D17" s="24" t="s">
        <v>256</v>
      </c>
      <c r="E17" s="165" t="s">
        <v>313</v>
      </c>
      <c r="F17" s="36" t="s">
        <v>312</v>
      </c>
      <c r="G17" s="307">
        <v>2000000</v>
      </c>
    </row>
    <row r="18" spans="2:7" ht="18" customHeight="1" x14ac:dyDescent="0.2">
      <c r="B18" s="169">
        <v>16</v>
      </c>
      <c r="C18" s="24" t="s">
        <v>257</v>
      </c>
      <c r="D18" s="24" t="s">
        <v>256</v>
      </c>
      <c r="E18" s="165" t="s">
        <v>311</v>
      </c>
      <c r="F18" s="36" t="s">
        <v>310</v>
      </c>
      <c r="G18" s="307">
        <v>2000000</v>
      </c>
    </row>
    <row r="19" spans="2:7" ht="18" customHeight="1" x14ac:dyDescent="0.2">
      <c r="B19" s="169">
        <v>17</v>
      </c>
      <c r="C19" s="24" t="s">
        <v>257</v>
      </c>
      <c r="D19" s="24" t="s">
        <v>256</v>
      </c>
      <c r="E19" s="165" t="s">
        <v>309</v>
      </c>
      <c r="F19" s="36" t="s">
        <v>308</v>
      </c>
      <c r="G19" s="307">
        <v>2000000</v>
      </c>
    </row>
    <row r="20" spans="2:7" ht="18" customHeight="1" x14ac:dyDescent="0.2">
      <c r="B20" s="169">
        <v>18</v>
      </c>
      <c r="C20" s="24" t="s">
        <v>257</v>
      </c>
      <c r="D20" s="24" t="s">
        <v>256</v>
      </c>
      <c r="E20" s="165" t="s">
        <v>307</v>
      </c>
      <c r="F20" s="36" t="s">
        <v>306</v>
      </c>
      <c r="G20" s="307">
        <v>2000000</v>
      </c>
    </row>
    <row r="21" spans="2:7" ht="18" customHeight="1" x14ac:dyDescent="0.2">
      <c r="B21" s="169">
        <v>19</v>
      </c>
      <c r="C21" s="24" t="s">
        <v>257</v>
      </c>
      <c r="D21" s="24" t="s">
        <v>256</v>
      </c>
      <c r="E21" s="165" t="s">
        <v>305</v>
      </c>
      <c r="F21" s="36" t="s">
        <v>304</v>
      </c>
      <c r="G21" s="307">
        <v>2000000</v>
      </c>
    </row>
    <row r="22" spans="2:7" ht="18" customHeight="1" x14ac:dyDescent="0.2">
      <c r="B22" s="169">
        <v>20</v>
      </c>
      <c r="C22" s="24" t="s">
        <v>257</v>
      </c>
      <c r="D22" s="24" t="s">
        <v>256</v>
      </c>
      <c r="E22" s="165" t="s">
        <v>303</v>
      </c>
      <c r="F22" s="36" t="s">
        <v>302</v>
      </c>
      <c r="G22" s="307">
        <v>2000000</v>
      </c>
    </row>
    <row r="23" spans="2:7" ht="18" customHeight="1" x14ac:dyDescent="0.2">
      <c r="B23" s="169">
        <v>21</v>
      </c>
      <c r="C23" s="24" t="s">
        <v>257</v>
      </c>
      <c r="D23" s="24" t="s">
        <v>256</v>
      </c>
      <c r="E23" s="165" t="s">
        <v>301</v>
      </c>
      <c r="F23" s="36" t="s">
        <v>300</v>
      </c>
      <c r="G23" s="307">
        <v>2000000</v>
      </c>
    </row>
    <row r="24" spans="2:7" ht="18" customHeight="1" x14ac:dyDescent="0.2">
      <c r="B24" s="169">
        <v>22</v>
      </c>
      <c r="C24" s="24" t="s">
        <v>257</v>
      </c>
      <c r="D24" s="24" t="s">
        <v>256</v>
      </c>
      <c r="E24" s="165" t="s">
        <v>299</v>
      </c>
      <c r="F24" s="36" t="s">
        <v>298</v>
      </c>
      <c r="G24" s="307">
        <v>2000000</v>
      </c>
    </row>
    <row r="25" spans="2:7" ht="18" customHeight="1" x14ac:dyDescent="0.2">
      <c r="B25" s="169">
        <v>23</v>
      </c>
      <c r="C25" s="24" t="s">
        <v>257</v>
      </c>
      <c r="D25" s="24" t="s">
        <v>256</v>
      </c>
      <c r="E25" s="165" t="s">
        <v>297</v>
      </c>
      <c r="F25" s="36" t="s">
        <v>296</v>
      </c>
      <c r="G25" s="307">
        <v>2000000</v>
      </c>
    </row>
    <row r="26" spans="2:7" ht="18" customHeight="1" x14ac:dyDescent="0.2">
      <c r="B26" s="169">
        <v>24</v>
      </c>
      <c r="C26" s="24" t="s">
        <v>257</v>
      </c>
      <c r="D26" s="24" t="s">
        <v>256</v>
      </c>
      <c r="E26" s="165" t="s">
        <v>295</v>
      </c>
      <c r="F26" s="36" t="s">
        <v>294</v>
      </c>
      <c r="G26" s="307">
        <v>2000000</v>
      </c>
    </row>
    <row r="27" spans="2:7" ht="18" customHeight="1" x14ac:dyDescent="0.2">
      <c r="B27" s="169">
        <v>25</v>
      </c>
      <c r="C27" s="24" t="s">
        <v>257</v>
      </c>
      <c r="D27" s="24" t="s">
        <v>256</v>
      </c>
      <c r="E27" s="165" t="s">
        <v>293</v>
      </c>
      <c r="F27" s="32" t="s">
        <v>292</v>
      </c>
      <c r="G27" s="307">
        <v>2000000</v>
      </c>
    </row>
    <row r="28" spans="2:7" ht="18" customHeight="1" x14ac:dyDescent="0.2">
      <c r="B28" s="169">
        <v>26</v>
      </c>
      <c r="C28" s="24" t="s">
        <v>257</v>
      </c>
      <c r="D28" s="24" t="s">
        <v>256</v>
      </c>
      <c r="E28" s="165" t="s">
        <v>291</v>
      </c>
      <c r="F28" s="36" t="s">
        <v>290</v>
      </c>
      <c r="G28" s="307">
        <v>2000000</v>
      </c>
    </row>
    <row r="29" spans="2:7" ht="18" customHeight="1" x14ac:dyDescent="0.2">
      <c r="B29" s="169">
        <v>27</v>
      </c>
      <c r="C29" s="24" t="s">
        <v>257</v>
      </c>
      <c r="D29" s="24" t="s">
        <v>256</v>
      </c>
      <c r="E29" s="165" t="s">
        <v>289</v>
      </c>
      <c r="F29" s="36" t="s">
        <v>288</v>
      </c>
      <c r="G29" s="307">
        <v>2000000</v>
      </c>
    </row>
    <row r="30" spans="2:7" ht="18" customHeight="1" x14ac:dyDescent="0.2">
      <c r="B30" s="169">
        <v>28</v>
      </c>
      <c r="C30" s="24" t="s">
        <v>257</v>
      </c>
      <c r="D30" s="24" t="s">
        <v>256</v>
      </c>
      <c r="E30" s="165" t="s">
        <v>287</v>
      </c>
      <c r="F30" s="36" t="s">
        <v>286</v>
      </c>
      <c r="G30" s="307">
        <v>2000000</v>
      </c>
    </row>
    <row r="31" spans="2:7" ht="18" customHeight="1" x14ac:dyDescent="0.2">
      <c r="B31" s="169">
        <v>29</v>
      </c>
      <c r="C31" s="24" t="s">
        <v>257</v>
      </c>
      <c r="D31" s="24" t="s">
        <v>256</v>
      </c>
      <c r="E31" s="165" t="s">
        <v>285</v>
      </c>
      <c r="F31" s="36" t="s">
        <v>284</v>
      </c>
      <c r="G31" s="307">
        <v>2000000</v>
      </c>
    </row>
    <row r="32" spans="2:7" ht="18" customHeight="1" x14ac:dyDescent="0.2">
      <c r="B32" s="169">
        <v>30</v>
      </c>
      <c r="C32" s="24" t="s">
        <v>257</v>
      </c>
      <c r="D32" s="24" t="s">
        <v>256</v>
      </c>
      <c r="E32" s="165" t="s">
        <v>283</v>
      </c>
      <c r="F32" s="183" t="s">
        <v>282</v>
      </c>
      <c r="G32" s="307">
        <v>2000000</v>
      </c>
    </row>
    <row r="33" spans="2:7" ht="18" customHeight="1" x14ac:dyDescent="0.2">
      <c r="B33" s="169">
        <v>31</v>
      </c>
      <c r="C33" s="24" t="s">
        <v>257</v>
      </c>
      <c r="D33" s="24" t="s">
        <v>256</v>
      </c>
      <c r="E33" s="165" t="s">
        <v>281</v>
      </c>
      <c r="F33" s="308" t="s">
        <v>280</v>
      </c>
      <c r="G33" s="307">
        <v>2000000</v>
      </c>
    </row>
    <row r="34" spans="2:7" ht="18" customHeight="1" x14ac:dyDescent="0.2">
      <c r="B34" s="169">
        <v>32</v>
      </c>
      <c r="C34" s="24" t="s">
        <v>257</v>
      </c>
      <c r="D34" s="24" t="s">
        <v>256</v>
      </c>
      <c r="E34" s="165" t="s">
        <v>279</v>
      </c>
      <c r="F34" s="309" t="s">
        <v>278</v>
      </c>
      <c r="G34" s="307">
        <v>2000000</v>
      </c>
    </row>
    <row r="35" spans="2:7" ht="18" customHeight="1" x14ac:dyDescent="0.2">
      <c r="B35" s="169">
        <v>33</v>
      </c>
      <c r="C35" s="24" t="s">
        <v>257</v>
      </c>
      <c r="D35" s="24" t="s">
        <v>256</v>
      </c>
      <c r="E35" s="164" t="s">
        <v>277</v>
      </c>
      <c r="F35" s="309" t="s">
        <v>276</v>
      </c>
      <c r="G35" s="307">
        <v>2000000</v>
      </c>
    </row>
    <row r="36" spans="2:7" ht="18" customHeight="1" x14ac:dyDescent="0.2">
      <c r="B36" s="169">
        <v>34</v>
      </c>
      <c r="C36" s="24" t="s">
        <v>257</v>
      </c>
      <c r="D36" s="24" t="s">
        <v>256</v>
      </c>
      <c r="E36" s="164" t="s">
        <v>275</v>
      </c>
      <c r="F36" s="309" t="s">
        <v>274</v>
      </c>
      <c r="G36" s="307">
        <v>2000000</v>
      </c>
    </row>
    <row r="37" spans="2:7" ht="18" customHeight="1" x14ac:dyDescent="0.2">
      <c r="B37" s="169">
        <v>35</v>
      </c>
      <c r="C37" s="24" t="s">
        <v>257</v>
      </c>
      <c r="D37" s="24" t="s">
        <v>256</v>
      </c>
      <c r="E37" s="165" t="s">
        <v>273</v>
      </c>
      <c r="F37" s="203" t="s">
        <v>272</v>
      </c>
      <c r="G37" s="307">
        <v>2000000</v>
      </c>
    </row>
    <row r="38" spans="2:7" ht="18" customHeight="1" x14ac:dyDescent="0.2">
      <c r="B38" s="169">
        <v>36</v>
      </c>
      <c r="C38" s="24" t="s">
        <v>257</v>
      </c>
      <c r="D38" s="24" t="s">
        <v>256</v>
      </c>
      <c r="E38" s="165" t="s">
        <v>270</v>
      </c>
      <c r="F38" s="203" t="s">
        <v>269</v>
      </c>
      <c r="G38" s="307">
        <v>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SD &amp; TK</vt:lpstr>
      <vt:lpstr>SMP &amp; SMA </vt:lpstr>
      <vt:lpstr>anak guru</vt:lpstr>
      <vt:lpstr>Sheet1</vt:lpstr>
      <vt:lpstr>Sheet2</vt:lpstr>
      <vt:lpstr>'anak guru'!Print_Area</vt:lpstr>
      <vt:lpstr>'SD &amp; TK'!Print_Area</vt:lpstr>
      <vt:lpstr>'SD &amp; TK'!Print_Titles</vt:lpstr>
      <vt:lpstr>'SMP &amp; SMA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cp:lastPrinted>2025-07-11T07:49:31Z</cp:lastPrinted>
  <dcterms:created xsi:type="dcterms:W3CDTF">2025-06-23T02:21:11Z</dcterms:created>
  <dcterms:modified xsi:type="dcterms:W3CDTF">2026-06-29T07:32:00Z</dcterms:modified>
</cp:coreProperties>
</file>